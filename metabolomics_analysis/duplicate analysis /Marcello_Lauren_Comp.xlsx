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bell/Desktop/networks/metabolomics_analysis/"/>
    </mc:Choice>
  </mc:AlternateContent>
  <xr:revisionPtr revIDLastSave="0" documentId="8_{50F76224-FE46-804D-BA45-CE8B4F65C5E7}" xr6:coauthVersionLast="47" xr6:coauthVersionMax="47" xr10:uidLastSave="{00000000-0000-0000-0000-000000000000}"/>
  <bookViews>
    <workbookView xWindow="780" yWindow="1000" windowWidth="27640" windowHeight="15800" xr2:uid="{115107B4-F930-5C41-8B0F-6D42651FF8D3}"/>
  </bookViews>
  <sheets>
    <sheet name="m_comp_M" sheetId="1" r:id="rId1"/>
  </sheets>
  <definedNames>
    <definedName name="_xlnm._FilterDatabase" localSheetId="0" hidden="1">m_comp_M!$A$1:$E$49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</calcChain>
</file>

<file path=xl/sharedStrings.xml><?xml version="1.0" encoding="utf-8"?>
<sst xmlns="http://schemas.openxmlformats.org/spreadsheetml/2006/main" count="101" uniqueCount="91">
  <si>
    <t>pubchem_id</t>
  </si>
  <si>
    <t>(2S,3R)-3-[(4E,7E)-nona-4,7-dienoyl]oxirane-2-carboxamide</t>
  </si>
  <si>
    <t>2-amino-1-methyl-1H-imidazol-4-ol</t>
  </si>
  <si>
    <t>1,1,4-triphenyl-3-(trimethylsilyl)buta-1,2-dien-4-ol</t>
  </si>
  <si>
    <t>1,3-diethynylbenzene</t>
  </si>
  <si>
    <t>2-hydroxyhex-2-enoic acid</t>
  </si>
  <si>
    <t>2,6-dimethyl-N-(1,3-thiazinan-2-ylidene)aniline</t>
  </si>
  <si>
    <t>3-hydroxybut-3-en-2-one</t>
  </si>
  <si>
    <t>3'-hydroxy-beta-naphthoflavone</t>
  </si>
  <si>
    <t>cholest-5-ene-3Œ≤,7Œ±-diol</t>
  </si>
  <si>
    <t>7-amino-4-methylcoumarin</t>
  </si>
  <si>
    <t>glycolic acid</t>
  </si>
  <si>
    <t>acetin</t>
  </si>
  <si>
    <t>tyramine</t>
  </si>
  <si>
    <t>1-deoxy-1-(4-morpholinyl)-Œ≤-D-fructopyranose</t>
  </si>
  <si>
    <t>D-galactose</t>
  </si>
  <si>
    <t>acetylene</t>
  </si>
  <si>
    <t>erythrose</t>
  </si>
  <si>
    <t>3-hydroxy-2-methylbutanoic acid</t>
  </si>
  <si>
    <t>2,4-dihydroxybutanoic acid</t>
  </si>
  <si>
    <t>Cetaben</t>
  </si>
  <si>
    <t>cis-4-hydroxycyclohexanecarboxylic acid</t>
  </si>
  <si>
    <t>4-hydroxyhippuric acid</t>
  </si>
  <si>
    <t>4-(Œ±-D-mannopyranosyl)morpholine</t>
  </si>
  <si>
    <t>hexanamide</t>
  </si>
  <si>
    <t>N-isobutyl-2-hydroxy-4,5-dihydro-1H-imidazole-1-carboxamide</t>
  </si>
  <si>
    <t>guanine</t>
  </si>
  <si>
    <t>carbamic acid</t>
  </si>
  <si>
    <t>2-hydroxyglutaric acid</t>
  </si>
  <si>
    <t>3-hydroxy-3-methylglutaric acid</t>
  </si>
  <si>
    <t>4-hydroxypentenoic acid</t>
  </si>
  <si>
    <t>thymine</t>
  </si>
  <si>
    <t>Tacrine</t>
  </si>
  <si>
    <t>1,3-dimethyl-6-(hydroxymethyl)thymine</t>
  </si>
  <si>
    <t>(5-benzyl-3,6-dioxopiperazin-2-yl)acetic acid</t>
  </si>
  <si>
    <t>3-mercaptopropionic acid</t>
  </si>
  <si>
    <t>oct-2-enoic acid</t>
  </si>
  <si>
    <t>5-ethyl-1H-indole-2-carboxylic acid</t>
  </si>
  <si>
    <t>1-(2,5-dimethoxyphenyl)-1-hydroxypropan-2-amine</t>
  </si>
  <si>
    <t>diethyl 4-hydroxy-1,2,3,5,6,7,8,8a-octahydro-1,2-cinnolinedicarboxylate</t>
  </si>
  <si>
    <t>1,3-diphenylpent-1-en-1-ol</t>
  </si>
  <si>
    <t>2,3-butanediol monoacetate</t>
  </si>
  <si>
    <t>phenolphthalein</t>
  </si>
  <si>
    <t>3-(hydroxymethyl)pentan-2-ol</t>
  </si>
  <si>
    <t>9-ethyl-9H-carbazol-3-amine</t>
  </si>
  <si>
    <t>N-methyl-1-(4-hydroxyphenyl)-1-hydroxypropan-2-amine</t>
  </si>
  <si>
    <t>norleucine</t>
  </si>
  <si>
    <t>oxymorphone</t>
  </si>
  <si>
    <t xml:space="preserve">3-(Nona-4,7-dienoyl)oxirane-2-carboxamide </t>
  </si>
  <si>
    <t>1,2-Butadiene, 1,1,4-triphenyl-</t>
  </si>
  <si>
    <t>1,3-Diethynylbenzene</t>
  </si>
  <si>
    <t>(Z)-2-hydroxyhex-2-enoic acid</t>
  </si>
  <si>
    <t>Xylazine</t>
  </si>
  <si>
    <t>3-Hydroxybut-3-en-2-one</t>
  </si>
  <si>
    <t>3'-oxy-beta-napthoflavone</t>
  </si>
  <si>
    <t>7alpha-Hydroxycholesterol</t>
  </si>
  <si>
    <t>Glycolic acid</t>
  </si>
  <si>
    <t>Monoacetin</t>
  </si>
  <si>
    <t>Benzeneethanamine, N-[(pentafluorophenyl)methylene]-4-oxy</t>
  </si>
  <si>
    <t>beta-d-Fructopyranose, 1-deoxy-1-(4-morpholinyl)-2,3,4,5-tetrakis-oxy-</t>
  </si>
  <si>
    <t>beta-D-Galactofuranose, 1,2,3,5,6-pentakis-oxy-</t>
  </si>
  <si>
    <t>Acetylene</t>
  </si>
  <si>
    <t>Butanal, 2,3,4-tris(oxy)-, O-methyloxime, [R-(R*,R*)]-</t>
  </si>
  <si>
    <t>2-hydroxy-2-methylbutanoic acid</t>
  </si>
  <si>
    <t>2,4-Dihydroxybutanoic acid</t>
  </si>
  <si>
    <t>4-Hydroxycyclohexanecarboxylic acid</t>
  </si>
  <si>
    <t>4-Hydroxyhippuric acid</t>
  </si>
  <si>
    <t>Morpholine, 4-(2,3,4,6-tetrakis-O-alpha-d-mannopyranosyl)-</t>
  </si>
  <si>
    <t>N-hexanamide</t>
  </si>
  <si>
    <t>Isocarbamid</t>
  </si>
  <si>
    <t>Carbamate</t>
  </si>
  <si>
    <t>3-Hydroxy-3-methylglutaric acid</t>
  </si>
  <si>
    <t>4-hydroxy-3-pentenoic acid</t>
  </si>
  <si>
    <t>Thymine</t>
  </si>
  <si>
    <t>6-(Hydroxymethyl)-1,3,5-trimethylpyrimidine-2,4-dione</t>
  </si>
  <si>
    <t>3-Carboxymethyl-6-benzyl-2,5-diketopiperazine</t>
  </si>
  <si>
    <t>3-thiopropanoic acid</t>
  </si>
  <si>
    <t>Oct-2-enoate</t>
  </si>
  <si>
    <t>5-ethyl-2-indolecarboxylic acid</t>
  </si>
  <si>
    <t>methoxamine</t>
  </si>
  <si>
    <t>1,2-Cinnolinedicarboxylic acid, 1,2,3,5,6,7,8,8a-octahydro-, diethyl ester</t>
  </si>
  <si>
    <t>(Z)-1,3-diphenylpent-1-en-1-ol</t>
  </si>
  <si>
    <t>2,3-Butanediol monoacetate</t>
  </si>
  <si>
    <t>2-ethylbutane-1,3-diol</t>
  </si>
  <si>
    <t>9-Ethyl-9H-carbazol-3-amine</t>
  </si>
  <si>
    <t>Benzenemethanol, 4-hydroxy-alpha-(1-(methylamino)ethyl)-</t>
  </si>
  <si>
    <t>Norleucine</t>
  </si>
  <si>
    <t>Oxymorphone</t>
  </si>
  <si>
    <t>metabolite - M</t>
  </si>
  <si>
    <t>metabolite - L</t>
  </si>
  <si>
    <t>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</si>
</sst>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98A3-D58F-7245-9289-59942DB0F41E}">
  <sheetPr filterMode="1"/>
  <dimension ref="A1:E49"/>
  <sheetViews>
    <sheetView tabSelected="1" workbookViewId="0">
      <selection activeCell="F10" sqref="F10"/>
    </sheetView>
  </sheetViews>
  <sheetFormatPr baseColWidth="10" defaultRowHeight="16" x14ac:dyDescent="0.2"/>
  <cols>
    <col min="1" max="1" width="21.5" customWidth="1"/>
    <col min="3" max="3" width="21.83203125" customWidth="1"/>
  </cols>
  <sheetData>
    <row r="1" spans="1:5" x14ac:dyDescent="0.2">
      <c r="A1" s="1" t="s">
        <v>88</v>
      </c>
      <c r="B1" s="1" t="s">
        <v>0</v>
      </c>
      <c r="C1" s="1" t="s">
        <v>89</v>
      </c>
      <c r="D1" s="1" t="s">
        <v>0</v>
      </c>
      <c r="E1" s="1" t="s">
        <v>90</v>
      </c>
    </row>
    <row r="2" spans="1:5" x14ac:dyDescent="0.2">
      <c r="A2" t="s">
        <v>1</v>
      </c>
      <c r="C2" t="s">
        <v>48</v>
      </c>
      <c r="D2">
        <v>5352018</v>
      </c>
      <c r="E2" t="b">
        <f>IF(D2=B2,TRUE,FALSE)</f>
        <v>0</v>
      </c>
    </row>
    <row r="3" spans="1:5" hidden="1" x14ac:dyDescent="0.2">
      <c r="A3" t="s">
        <v>2</v>
      </c>
      <c r="B3">
        <v>26009888</v>
      </c>
      <c r="C3" t="s">
        <v>2</v>
      </c>
      <c r="D3">
        <v>26009888</v>
      </c>
      <c r="E3" t="b">
        <f t="shared" ref="E3:E49" si="0">IF(D3=B3,TRUE,FALSE)</f>
        <v>1</v>
      </c>
    </row>
    <row r="4" spans="1:5" hidden="1" x14ac:dyDescent="0.2">
      <c r="A4" t="s">
        <v>3</v>
      </c>
      <c r="C4" t="s">
        <v>49</v>
      </c>
      <c r="E4" t="b">
        <f t="shared" si="0"/>
        <v>1</v>
      </c>
    </row>
    <row r="5" spans="1:5" hidden="1" x14ac:dyDescent="0.2">
      <c r="A5" t="s">
        <v>4</v>
      </c>
      <c r="B5">
        <v>123130</v>
      </c>
      <c r="C5" t="s">
        <v>50</v>
      </c>
      <c r="D5">
        <v>123130</v>
      </c>
      <c r="E5" t="b">
        <f t="shared" si="0"/>
        <v>1</v>
      </c>
    </row>
    <row r="6" spans="1:5" hidden="1" x14ac:dyDescent="0.2">
      <c r="A6" t="s">
        <v>5</v>
      </c>
      <c r="C6" t="s">
        <v>51</v>
      </c>
      <c r="E6" t="b">
        <f t="shared" si="0"/>
        <v>1</v>
      </c>
    </row>
    <row r="7" spans="1:5" x14ac:dyDescent="0.2">
      <c r="A7" t="s">
        <v>6</v>
      </c>
      <c r="C7" t="s">
        <v>52</v>
      </c>
      <c r="D7">
        <v>5707</v>
      </c>
      <c r="E7" t="b">
        <f t="shared" si="0"/>
        <v>0</v>
      </c>
    </row>
    <row r="8" spans="1:5" hidden="1" x14ac:dyDescent="0.2">
      <c r="A8" t="s">
        <v>7</v>
      </c>
      <c r="B8">
        <v>13285096</v>
      </c>
      <c r="C8" t="s">
        <v>53</v>
      </c>
      <c r="D8">
        <v>13285096</v>
      </c>
      <c r="E8" t="b">
        <f t="shared" si="0"/>
        <v>1</v>
      </c>
    </row>
    <row r="9" spans="1:5" hidden="1" x14ac:dyDescent="0.2">
      <c r="A9" t="s">
        <v>8</v>
      </c>
      <c r="C9" t="s">
        <v>54</v>
      </c>
      <c r="E9" t="b">
        <f t="shared" si="0"/>
        <v>1</v>
      </c>
    </row>
    <row r="10" spans="1:5" x14ac:dyDescent="0.2">
      <c r="A10" t="s">
        <v>9</v>
      </c>
      <c r="C10" t="s">
        <v>55</v>
      </c>
      <c r="D10">
        <v>107722</v>
      </c>
      <c r="E10" t="b">
        <f t="shared" si="0"/>
        <v>0</v>
      </c>
    </row>
    <row r="11" spans="1:5" hidden="1" x14ac:dyDescent="0.2">
      <c r="A11" t="s">
        <v>10</v>
      </c>
      <c r="B11">
        <v>92249</v>
      </c>
      <c r="C11" t="s">
        <v>10</v>
      </c>
      <c r="D11">
        <v>92249</v>
      </c>
      <c r="E11" t="b">
        <f t="shared" si="0"/>
        <v>1</v>
      </c>
    </row>
    <row r="12" spans="1:5" hidden="1" x14ac:dyDescent="0.2">
      <c r="A12" t="s">
        <v>11</v>
      </c>
      <c r="B12">
        <v>757</v>
      </c>
      <c r="C12" t="s">
        <v>56</v>
      </c>
      <c r="D12">
        <v>757</v>
      </c>
      <c r="E12" t="b">
        <f t="shared" si="0"/>
        <v>1</v>
      </c>
    </row>
    <row r="13" spans="1:5" hidden="1" x14ac:dyDescent="0.2">
      <c r="A13" t="s">
        <v>12</v>
      </c>
      <c r="B13">
        <v>33510</v>
      </c>
      <c r="C13" t="s">
        <v>57</v>
      </c>
      <c r="D13">
        <v>33510</v>
      </c>
      <c r="E13" t="b">
        <f t="shared" si="0"/>
        <v>1</v>
      </c>
    </row>
    <row r="14" spans="1:5" x14ac:dyDescent="0.2">
      <c r="A14" t="s">
        <v>13</v>
      </c>
      <c r="B14">
        <v>5610</v>
      </c>
      <c r="C14" t="s">
        <v>58</v>
      </c>
      <c r="E14" t="b">
        <f t="shared" si="0"/>
        <v>0</v>
      </c>
    </row>
    <row r="15" spans="1:5" hidden="1" x14ac:dyDescent="0.2">
      <c r="A15" t="s">
        <v>14</v>
      </c>
      <c r="C15" t="s">
        <v>59</v>
      </c>
      <c r="E15" t="b">
        <f t="shared" si="0"/>
        <v>1</v>
      </c>
    </row>
    <row r="16" spans="1:5" x14ac:dyDescent="0.2">
      <c r="A16" t="s">
        <v>15</v>
      </c>
      <c r="B16">
        <v>6036</v>
      </c>
      <c r="C16" t="s">
        <v>60</v>
      </c>
      <c r="E16" t="b">
        <f t="shared" si="0"/>
        <v>0</v>
      </c>
    </row>
    <row r="17" spans="1:5" hidden="1" x14ac:dyDescent="0.2">
      <c r="A17" t="s">
        <v>16</v>
      </c>
      <c r="B17">
        <v>6326</v>
      </c>
      <c r="C17" t="s">
        <v>61</v>
      </c>
      <c r="D17">
        <v>6326</v>
      </c>
      <c r="E17" t="b">
        <f t="shared" si="0"/>
        <v>1</v>
      </c>
    </row>
    <row r="18" spans="1:5" x14ac:dyDescent="0.2">
      <c r="A18" t="s">
        <v>17</v>
      </c>
      <c r="B18">
        <v>94176</v>
      </c>
      <c r="C18" t="s">
        <v>62</v>
      </c>
      <c r="E18" t="b">
        <f t="shared" si="0"/>
        <v>0</v>
      </c>
    </row>
    <row r="19" spans="1:5" x14ac:dyDescent="0.2">
      <c r="A19" t="s">
        <v>18</v>
      </c>
      <c r="B19">
        <v>160471</v>
      </c>
      <c r="C19" t="s">
        <v>63</v>
      </c>
      <c r="D19">
        <v>95433</v>
      </c>
      <c r="E19" t="b">
        <f t="shared" si="0"/>
        <v>0</v>
      </c>
    </row>
    <row r="20" spans="1:5" hidden="1" x14ac:dyDescent="0.2">
      <c r="A20" t="s">
        <v>19</v>
      </c>
      <c r="B20">
        <v>192742</v>
      </c>
      <c r="C20" t="s">
        <v>64</v>
      </c>
      <c r="D20">
        <v>192742</v>
      </c>
      <c r="E20" t="b">
        <f t="shared" si="0"/>
        <v>1</v>
      </c>
    </row>
    <row r="21" spans="1:5" hidden="1" x14ac:dyDescent="0.2">
      <c r="A21" t="s">
        <v>20</v>
      </c>
      <c r="B21">
        <v>47263</v>
      </c>
      <c r="C21" t="s">
        <v>20</v>
      </c>
      <c r="D21">
        <v>47263</v>
      </c>
      <c r="E21" t="b">
        <f t="shared" si="0"/>
        <v>1</v>
      </c>
    </row>
    <row r="22" spans="1:5" hidden="1" x14ac:dyDescent="0.2">
      <c r="A22" t="s">
        <v>21</v>
      </c>
      <c r="B22">
        <v>151138</v>
      </c>
      <c r="C22" t="s">
        <v>65</v>
      </c>
      <c r="D22">
        <v>151138</v>
      </c>
      <c r="E22" t="b">
        <f t="shared" si="0"/>
        <v>1</v>
      </c>
    </row>
    <row r="23" spans="1:5" hidden="1" x14ac:dyDescent="0.2">
      <c r="A23" t="s">
        <v>22</v>
      </c>
      <c r="B23">
        <v>151012</v>
      </c>
      <c r="C23" t="s">
        <v>66</v>
      </c>
      <c r="D23">
        <v>151012</v>
      </c>
      <c r="E23" t="b">
        <f t="shared" si="0"/>
        <v>1</v>
      </c>
    </row>
    <row r="24" spans="1:5" hidden="1" x14ac:dyDescent="0.2">
      <c r="A24" t="s">
        <v>23</v>
      </c>
      <c r="C24" t="s">
        <v>67</v>
      </c>
      <c r="E24" t="b">
        <f t="shared" si="0"/>
        <v>1</v>
      </c>
    </row>
    <row r="25" spans="1:5" hidden="1" x14ac:dyDescent="0.2">
      <c r="A25" t="s">
        <v>24</v>
      </c>
      <c r="B25">
        <v>12332</v>
      </c>
      <c r="C25" t="s">
        <v>68</v>
      </c>
      <c r="D25">
        <v>12332</v>
      </c>
      <c r="E25" t="b">
        <f t="shared" si="0"/>
        <v>1</v>
      </c>
    </row>
    <row r="26" spans="1:5" x14ac:dyDescent="0.2">
      <c r="A26" t="s">
        <v>25</v>
      </c>
      <c r="C26" t="s">
        <v>69</v>
      </c>
      <c r="D26">
        <v>35699</v>
      </c>
      <c r="E26" t="b">
        <f t="shared" si="0"/>
        <v>0</v>
      </c>
    </row>
    <row r="27" spans="1:5" hidden="1" x14ac:dyDescent="0.2">
      <c r="A27" t="s">
        <v>26</v>
      </c>
      <c r="B27">
        <v>135398634</v>
      </c>
      <c r="C27" t="s">
        <v>26</v>
      </c>
      <c r="D27">
        <v>135398634</v>
      </c>
      <c r="E27" t="b">
        <f t="shared" si="0"/>
        <v>1</v>
      </c>
    </row>
    <row r="28" spans="1:5" x14ac:dyDescent="0.2">
      <c r="A28" t="s">
        <v>27</v>
      </c>
      <c r="B28">
        <v>277</v>
      </c>
      <c r="C28" t="s">
        <v>70</v>
      </c>
      <c r="D28">
        <v>276</v>
      </c>
      <c r="E28" t="b">
        <f t="shared" si="0"/>
        <v>0</v>
      </c>
    </row>
    <row r="29" spans="1:5" hidden="1" x14ac:dyDescent="0.2">
      <c r="A29" t="s">
        <v>28</v>
      </c>
      <c r="B29">
        <v>43</v>
      </c>
      <c r="C29" t="s">
        <v>28</v>
      </c>
      <c r="D29">
        <v>43</v>
      </c>
      <c r="E29" t="b">
        <f t="shared" si="0"/>
        <v>1</v>
      </c>
    </row>
    <row r="30" spans="1:5" hidden="1" x14ac:dyDescent="0.2">
      <c r="A30" t="s">
        <v>29</v>
      </c>
      <c r="B30">
        <v>1662</v>
      </c>
      <c r="C30" t="s">
        <v>71</v>
      </c>
      <c r="D30">
        <v>1662</v>
      </c>
      <c r="E30" t="b">
        <f t="shared" si="0"/>
        <v>1</v>
      </c>
    </row>
    <row r="31" spans="1:5" x14ac:dyDescent="0.2">
      <c r="A31" t="s">
        <v>30</v>
      </c>
      <c r="B31">
        <v>538669</v>
      </c>
      <c r="C31" t="s">
        <v>72</v>
      </c>
      <c r="D31">
        <v>6442606</v>
      </c>
      <c r="E31" t="b">
        <f t="shared" si="0"/>
        <v>0</v>
      </c>
    </row>
    <row r="32" spans="1:5" hidden="1" x14ac:dyDescent="0.2">
      <c r="A32" t="s">
        <v>31</v>
      </c>
      <c r="B32">
        <v>1135</v>
      </c>
      <c r="C32" t="s">
        <v>73</v>
      </c>
      <c r="D32">
        <v>1135</v>
      </c>
      <c r="E32" t="b">
        <f t="shared" si="0"/>
        <v>1</v>
      </c>
    </row>
    <row r="33" spans="1:5" hidden="1" x14ac:dyDescent="0.2">
      <c r="A33" t="s">
        <v>32</v>
      </c>
      <c r="B33">
        <v>1935</v>
      </c>
      <c r="C33" t="s">
        <v>32</v>
      </c>
      <c r="D33">
        <v>1935</v>
      </c>
      <c r="E33" t="b">
        <f t="shared" si="0"/>
        <v>1</v>
      </c>
    </row>
    <row r="34" spans="1:5" hidden="1" x14ac:dyDescent="0.2">
      <c r="A34" t="s">
        <v>33</v>
      </c>
      <c r="C34" t="s">
        <v>74</v>
      </c>
      <c r="E34" t="b">
        <f t="shared" si="0"/>
        <v>1</v>
      </c>
    </row>
    <row r="35" spans="1:5" hidden="1" x14ac:dyDescent="0.2">
      <c r="A35" t="s">
        <v>34</v>
      </c>
      <c r="B35">
        <v>119494</v>
      </c>
      <c r="C35" t="s">
        <v>75</v>
      </c>
      <c r="D35">
        <v>119494</v>
      </c>
      <c r="E35" t="b">
        <f t="shared" si="0"/>
        <v>1</v>
      </c>
    </row>
    <row r="36" spans="1:5" hidden="1" x14ac:dyDescent="0.2">
      <c r="A36" t="s">
        <v>35</v>
      </c>
      <c r="B36">
        <v>6514</v>
      </c>
      <c r="C36" t="s">
        <v>76</v>
      </c>
      <c r="D36">
        <v>6514</v>
      </c>
      <c r="E36" t="b">
        <f t="shared" si="0"/>
        <v>1</v>
      </c>
    </row>
    <row r="37" spans="1:5" x14ac:dyDescent="0.2">
      <c r="A37" t="s">
        <v>36</v>
      </c>
      <c r="B37">
        <v>73850</v>
      </c>
      <c r="C37" t="s">
        <v>77</v>
      </c>
      <c r="D37">
        <v>5282713</v>
      </c>
      <c r="E37" t="b">
        <f t="shared" si="0"/>
        <v>0</v>
      </c>
    </row>
    <row r="38" spans="1:5" hidden="1" x14ac:dyDescent="0.2">
      <c r="A38" t="s">
        <v>34</v>
      </c>
      <c r="B38">
        <v>119494</v>
      </c>
      <c r="C38" t="s">
        <v>75</v>
      </c>
      <c r="D38">
        <v>119494</v>
      </c>
      <c r="E38" t="b">
        <f t="shared" si="0"/>
        <v>1</v>
      </c>
    </row>
    <row r="39" spans="1:5" hidden="1" x14ac:dyDescent="0.2">
      <c r="A39" t="s">
        <v>37</v>
      </c>
      <c r="B39">
        <v>269697</v>
      </c>
      <c r="C39" t="s">
        <v>78</v>
      </c>
      <c r="D39">
        <v>269697</v>
      </c>
      <c r="E39" t="b">
        <f t="shared" si="0"/>
        <v>1</v>
      </c>
    </row>
    <row r="40" spans="1:5" x14ac:dyDescent="0.2">
      <c r="A40" t="s">
        <v>38</v>
      </c>
      <c r="C40" t="s">
        <v>79</v>
      </c>
      <c r="D40">
        <v>6082</v>
      </c>
      <c r="E40" t="b">
        <f t="shared" si="0"/>
        <v>0</v>
      </c>
    </row>
    <row r="41" spans="1:5" hidden="1" x14ac:dyDescent="0.2">
      <c r="A41" t="s">
        <v>39</v>
      </c>
      <c r="C41" t="s">
        <v>80</v>
      </c>
      <c r="E41" t="b">
        <f t="shared" si="0"/>
        <v>1</v>
      </c>
    </row>
    <row r="42" spans="1:5" hidden="1" x14ac:dyDescent="0.2">
      <c r="A42" t="s">
        <v>40</v>
      </c>
      <c r="C42" t="s">
        <v>81</v>
      </c>
      <c r="E42" t="b">
        <f t="shared" si="0"/>
        <v>1</v>
      </c>
    </row>
    <row r="43" spans="1:5" hidden="1" x14ac:dyDescent="0.2">
      <c r="A43" t="s">
        <v>41</v>
      </c>
      <c r="B43">
        <v>143344</v>
      </c>
      <c r="C43" t="s">
        <v>82</v>
      </c>
      <c r="D43">
        <v>143344</v>
      </c>
      <c r="E43" t="b">
        <f t="shared" si="0"/>
        <v>1</v>
      </c>
    </row>
    <row r="44" spans="1:5" hidden="1" x14ac:dyDescent="0.2">
      <c r="A44" t="s">
        <v>42</v>
      </c>
      <c r="B44">
        <v>4764</v>
      </c>
      <c r="C44" t="s">
        <v>42</v>
      </c>
      <c r="D44">
        <v>4764</v>
      </c>
      <c r="E44" t="b">
        <f t="shared" si="0"/>
        <v>1</v>
      </c>
    </row>
    <row r="45" spans="1:5" x14ac:dyDescent="0.2">
      <c r="A45" t="s">
        <v>43</v>
      </c>
      <c r="C45" t="s">
        <v>83</v>
      </c>
      <c r="D45">
        <v>47955</v>
      </c>
      <c r="E45" t="b">
        <f t="shared" si="0"/>
        <v>0</v>
      </c>
    </row>
    <row r="46" spans="1:5" hidden="1" x14ac:dyDescent="0.2">
      <c r="A46" t="s">
        <v>44</v>
      </c>
      <c r="B46">
        <v>8588</v>
      </c>
      <c r="C46" t="s">
        <v>84</v>
      </c>
      <c r="D46">
        <v>8588</v>
      </c>
      <c r="E46" t="b">
        <f t="shared" si="0"/>
        <v>1</v>
      </c>
    </row>
    <row r="47" spans="1:5" x14ac:dyDescent="0.2">
      <c r="A47" t="s">
        <v>45</v>
      </c>
      <c r="C47" t="s">
        <v>85</v>
      </c>
      <c r="D47">
        <v>9701</v>
      </c>
      <c r="E47" t="b">
        <f t="shared" si="0"/>
        <v>0</v>
      </c>
    </row>
    <row r="48" spans="1:5" hidden="1" x14ac:dyDescent="0.2">
      <c r="A48" t="s">
        <v>46</v>
      </c>
      <c r="B48">
        <v>21236</v>
      </c>
      <c r="C48" t="s">
        <v>86</v>
      </c>
      <c r="D48">
        <v>21236</v>
      </c>
      <c r="E48" t="b">
        <f t="shared" si="0"/>
        <v>1</v>
      </c>
    </row>
    <row r="49" spans="1:5" hidden="1" x14ac:dyDescent="0.2">
      <c r="A49" t="s">
        <v>47</v>
      </c>
      <c r="B49">
        <v>5284604</v>
      </c>
      <c r="C49" t="s">
        <v>87</v>
      </c>
      <c r="D49">
        <v>5284604</v>
      </c>
      <c r="E49" t="b">
        <f t="shared" si="0"/>
        <v>1</v>
      </c>
    </row>
  </sheetData>
  <autoFilter ref="A1:E49" xr:uid="{9BC298A3-D58F-7245-9289-59942DB0F41E}">
    <filterColumn colId="4">
      <filters>
        <filter val="FAL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m_comp_M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Bell, Lauren</cp:lastModifiedBy>
  <dcterms:created xsi:type="dcterms:W3CDTF">2026-06-04T19:51:05Z</dcterms:created>
  <dcterms:modified xsi:type="dcterms:W3CDTF">2026-06-04T19:51:05Z</dcterms:modified>
</cp:coreProperties>
</file>