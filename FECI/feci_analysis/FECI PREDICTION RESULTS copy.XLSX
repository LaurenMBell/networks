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sara/Desktop/"/>
    </mc:Choice>
  </mc:AlternateContent>
  <xr:revisionPtr revIDLastSave="0" documentId="13_ncr:1_{7F7CADCA-19E0-9944-B298-8396F2376D1C}" xr6:coauthVersionLast="47" xr6:coauthVersionMax="47" xr10:uidLastSave="{00000000-0000-0000-0000-000000000000}"/>
  <bookViews>
    <workbookView xWindow="4760" yWindow="1180" windowWidth="28800" windowHeight="16600" activeTab="2" xr2:uid="{00000000-000D-0000-FFFF-FFFF00000000}"/>
  </bookViews>
  <sheets>
    <sheet name="Foglio1" sheetId="1" r:id="rId1"/>
    <sheet name="Foglio2" sheetId="2" r:id="rId2"/>
    <sheet name="FINAL RESULTS" sheetId="3" r:id="rId3"/>
    <sheet name="Sheet1" sheetId="4" r:id="rId4"/>
  </sheets>
  <definedNames>
    <definedName name="_xlnm._FilterDatabase" localSheetId="2" hidden="1">'FINAL RESULTS'!$A$1:$O$124</definedName>
    <definedName name="performance" localSheetId="0">Foglio1!#REF!</definedName>
    <definedName name="sensitivity" localSheetId="0">Foglio1!$A$3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9" i="4"/>
  <c r="J8" i="4"/>
  <c r="J7" i="4"/>
  <c r="J6" i="4"/>
  <c r="J5" i="4"/>
  <c r="J4" i="4"/>
  <c r="J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2" i="2"/>
</calcChain>
</file>

<file path=xl/sharedStrings.xml><?xml version="1.0" encoding="utf-8"?>
<sst xmlns="http://schemas.openxmlformats.org/spreadsheetml/2006/main" count="2088" uniqueCount="266">
  <si>
    <t>75_feci_100322</t>
  </si>
  <si>
    <t>DSS</t>
  </si>
  <si>
    <t>100_rep_110322</t>
  </si>
  <si>
    <t>NA</t>
  </si>
  <si>
    <t>101_rep_110322</t>
  </si>
  <si>
    <t>102_feci_100322</t>
  </si>
  <si>
    <t>103_rep_110322</t>
  </si>
  <si>
    <t>104_feci_100322</t>
  </si>
  <si>
    <t>105_rep_110322</t>
  </si>
  <si>
    <t>81_feci_100322</t>
  </si>
  <si>
    <t>83_feci_20_81</t>
  </si>
  <si>
    <t>84_feci_100322</t>
  </si>
  <si>
    <t>108_rep_110322</t>
  </si>
  <si>
    <t>109_110322</t>
  </si>
  <si>
    <t>110_110322</t>
  </si>
  <si>
    <t>113_110322</t>
  </si>
  <si>
    <t>88_feci_100322</t>
  </si>
  <si>
    <t>115_110322</t>
  </si>
  <si>
    <t>116_110322</t>
  </si>
  <si>
    <t>118_110322</t>
  </si>
  <si>
    <t>120_110322</t>
  </si>
  <si>
    <t>121_REP_140322</t>
  </si>
  <si>
    <t>122_110322</t>
  </si>
  <si>
    <t>Feci_DSS-T3_90_28022024</t>
  </si>
  <si>
    <t>Feci_DSS-T3_91_28022024</t>
  </si>
  <si>
    <t>70_feci_09032022</t>
  </si>
  <si>
    <t>96_feci_100322</t>
  </si>
  <si>
    <t>97_rep110322</t>
  </si>
  <si>
    <t>124_110322</t>
  </si>
  <si>
    <t>125_110322</t>
  </si>
  <si>
    <t>126_110322</t>
  </si>
  <si>
    <t>129_110322</t>
  </si>
  <si>
    <t>Feci_DSS-T5_128_28022024</t>
  </si>
  <si>
    <t>Feci_DSS-T5_T5.5_28022024</t>
  </si>
  <si>
    <t>Feci_Vecpac-WT_3297REP_01032024</t>
  </si>
  <si>
    <t>VECPAC</t>
  </si>
  <si>
    <t>Feci_Vecpac-WT_3371REP_01032024</t>
  </si>
  <si>
    <t>Feci_Vecpac-WT_3302_29022024</t>
  </si>
  <si>
    <t>Feci_Vecpac-WT_3307_29022024</t>
  </si>
  <si>
    <t>Feci_Vecpac-WT_3319_29022024</t>
  </si>
  <si>
    <t>Feci_Vecpac-WT_3329_29022024</t>
  </si>
  <si>
    <t>Feci_Vecpac-WT_3353_29022024</t>
  </si>
  <si>
    <t>Feci_Vecpac-WT_3354_29022024</t>
  </si>
  <si>
    <t>Feci_Vecpac-WT_3673_28022024</t>
  </si>
  <si>
    <t>Feci_Vecpac-WT_3674_28022024</t>
  </si>
  <si>
    <t>Feci_Vecpac-WT_3675_28022024</t>
  </si>
  <si>
    <t>Feci_Vecpac-WT_3677_28022024</t>
  </si>
  <si>
    <t>Feci_Vecpac-WT_3679_29022024</t>
  </si>
  <si>
    <t>Feci_Vecpac-WT_3680_29022024</t>
  </si>
  <si>
    <t>Feci_Vecpac-WT_3681_29022024</t>
  </si>
  <si>
    <t>Feci_Vecpac-WT_3687_29022024</t>
  </si>
  <si>
    <t>Feci_Vecpac-WT_3688_29022024</t>
  </si>
  <si>
    <t>Feci_Vecpac-CRE_3296_01032024</t>
  </si>
  <si>
    <t>Feci_Vecpac-CRE_3303_01032024</t>
  </si>
  <si>
    <t>Feci_Vecpac-CRE_3304_01032024</t>
  </si>
  <si>
    <t>Feci_Vecpac-CRE_3306_01032024</t>
  </si>
  <si>
    <t>Feci_Vecpac-CRE_3328REP_01032024</t>
  </si>
  <si>
    <t>Feci_Vecpac-CRE_3330_01032024</t>
  </si>
  <si>
    <t>Feci_Vecpac-CRE_3335_01032024</t>
  </si>
  <si>
    <t>Feci_Vecpac-CRE_3352REP_01032024</t>
  </si>
  <si>
    <t>Feci_Vecpac-CRE_3665_29022024</t>
  </si>
  <si>
    <t>SampleID</t>
  </si>
  <si>
    <t>VECPAC VS DSS</t>
  </si>
  <si>
    <t>83% V</t>
  </si>
  <si>
    <t>100% V</t>
  </si>
  <si>
    <t>83% DSS</t>
  </si>
  <si>
    <t>100% DSS</t>
  </si>
  <si>
    <t>Feci_Vecpac-WT_3336_29022024</t>
  </si>
  <si>
    <t>LPS</t>
  </si>
  <si>
    <t>Feci_Vecpac-WT_3337_29022024</t>
  </si>
  <si>
    <t>Feci_Vecpac-WT_3369_29022024</t>
  </si>
  <si>
    <t>Feci_Vecpac-WT_3678_28022024</t>
  </si>
  <si>
    <t>Feci_Vecpac-CRE_3305_01032024</t>
  </si>
  <si>
    <t>Feci_Vecpac-CRE_3318_01032024</t>
  </si>
  <si>
    <t>Feci_Vecpac-CRE_3334_01032024</t>
  </si>
  <si>
    <t>Feci_Vecpac-CRE_3347_01032024</t>
  </si>
  <si>
    <t>Feci_Vecpac-CRE_3355REP_01032024</t>
  </si>
  <si>
    <t>Feci_Vecpac-CRE_3356_01032024</t>
  </si>
  <si>
    <t>Feci_Vecpac-CRE_3370_01032024</t>
  </si>
  <si>
    <t>Feci_Vecpac-CRE_3664_29022024</t>
  </si>
  <si>
    <t>Feci_Vecpac-CRE_3689_29022024</t>
  </si>
  <si>
    <t>Feci_LPS_CTRL_934_23022024</t>
  </si>
  <si>
    <t>Feci_LPS_CTRL_936_23022024</t>
  </si>
  <si>
    <t>Feci_LPS_CTRL_937_23022024</t>
  </si>
  <si>
    <t>Feci_LPS_CTRL_938_26022024</t>
  </si>
  <si>
    <t>Feci_LPS_CTRL_939_26022024</t>
  </si>
  <si>
    <t>Feci_LPS_CTRL_940_26022024</t>
  </si>
  <si>
    <t>Feci_LPS-CTRL_941REP_01032024</t>
  </si>
  <si>
    <t>Feci_LPS_2.5H_946_26022024</t>
  </si>
  <si>
    <t>Feci_LPS_2.5H_949_26022024</t>
  </si>
  <si>
    <t>Feci_LPS_2.5H_953_26022024</t>
  </si>
  <si>
    <t>Feci_LPS_24H_957_27022024</t>
  </si>
  <si>
    <t>Feci_LPS_24H_959_26022024</t>
  </si>
  <si>
    <t>Feci_LPS_24H_961_27022024</t>
  </si>
  <si>
    <t>Feci_LPS_24H_962_27022024</t>
  </si>
  <si>
    <t>Feci_LPS_24H_963_27022024</t>
  </si>
  <si>
    <t>Feci_LPS-24H960REP_01032024</t>
  </si>
  <si>
    <t>57% LPS 53% V</t>
  </si>
  <si>
    <t>100% LPS</t>
  </si>
  <si>
    <t>71% V</t>
  </si>
  <si>
    <t>71% LPS</t>
  </si>
  <si>
    <t>86% LPS</t>
  </si>
  <si>
    <t>66% LPS</t>
  </si>
  <si>
    <t>83% LPS</t>
  </si>
  <si>
    <t>VECPAC VS LPS</t>
  </si>
  <si>
    <t>106_110322</t>
  </si>
  <si>
    <t>Feci_DSS-T0_896_27022024</t>
  </si>
  <si>
    <t>Feci_DSS-T0_897_27022024</t>
  </si>
  <si>
    <t>Feci_DSS-T0_T0.5_27022024</t>
  </si>
  <si>
    <t>Feci_DSS-T0_T0.6_27022024</t>
  </si>
  <si>
    <t>Feci_DSS-T0_T0.7_27022024</t>
  </si>
  <si>
    <t>Feci_DSS-T0_T0.8_27022024</t>
  </si>
  <si>
    <t>Feci_DSS-T1_111_27022024</t>
  </si>
  <si>
    <t>Feci_DSS-T1_B901_27022024</t>
  </si>
  <si>
    <t>Feci_DSS-T1_B902_27022024</t>
  </si>
  <si>
    <t>Feci_DSS-T1_T1.5_27022024</t>
  </si>
  <si>
    <t>Feci_DSS-T1_T1.6_27022024</t>
  </si>
  <si>
    <t>Feci_DSS-T1_T1.7_27022024</t>
  </si>
  <si>
    <t>Feci_DSS-T1_T1.8_27022024</t>
  </si>
  <si>
    <t>89_feci_100322</t>
  </si>
  <si>
    <t>Feci_DSS-T3_906_28022024</t>
  </si>
  <si>
    <t>Feci_DSS-T3_907_rep_28022024_2</t>
  </si>
  <si>
    <t>Feci_DSS-T3_T3.6_28022024</t>
  </si>
  <si>
    <t>Feci_DSS-T3_T3.7_28022024</t>
  </si>
  <si>
    <t>Feci_DSS-T3_T3.8_28022024</t>
  </si>
  <si>
    <t>Feci_DSS-T5_B911_28022024</t>
  </si>
  <si>
    <t>Feci_DSS-T5_B912_28022024</t>
  </si>
  <si>
    <t>Feci_DSS-T5_T5.6_28022024</t>
  </si>
  <si>
    <t>Feci_DSS-T5_T5.7_28022024</t>
  </si>
  <si>
    <t>Feci_DSS-T5_T5.8_28022024</t>
  </si>
  <si>
    <t>66% DSS</t>
  </si>
  <si>
    <t>66% V</t>
  </si>
  <si>
    <t>86% V</t>
  </si>
  <si>
    <t>50% D 50% V</t>
  </si>
  <si>
    <t>86% DSS</t>
  </si>
  <si>
    <t>71% DSS</t>
  </si>
  <si>
    <t>57% LPS 42% DSS</t>
  </si>
  <si>
    <t>DSS VS LPS</t>
  </si>
  <si>
    <t>final class</t>
  </si>
  <si>
    <t>ordiginal class</t>
  </si>
  <si>
    <t>LPS_VECPAC</t>
  </si>
  <si>
    <t>status</t>
  </si>
  <si>
    <t>alternativo</t>
  </si>
  <si>
    <t>buono</t>
  </si>
  <si>
    <t>timepoint</t>
  </si>
  <si>
    <t>ORIG CLASS</t>
  </si>
  <si>
    <t>use for training</t>
  </si>
  <si>
    <t>Feci_LPS_2.5H_944_26022024</t>
  </si>
  <si>
    <t>Feci_LPS_2.5H_945_26022024</t>
  </si>
  <si>
    <t>Feci_LPS_2.5H_947_26022024</t>
  </si>
  <si>
    <t>Feci_LPS_2.5H_948_26022024</t>
  </si>
  <si>
    <t>Feci_LPS_2.5H_950_26022024</t>
  </si>
  <si>
    <t>Feci_LPS_24H_954_26022024</t>
  </si>
  <si>
    <t>Feci_LPS_24H_955_26022024</t>
  </si>
  <si>
    <t>Feci_LPS_24H_956_26022024</t>
  </si>
  <si>
    <t>Feci_LPS_24H_958_26022024</t>
  </si>
  <si>
    <t>Feci_LPS_CTRL_935_23022024</t>
  </si>
  <si>
    <t>Feci_LPS_CTRL_943_26022024</t>
  </si>
  <si>
    <t>originale</t>
  </si>
  <si>
    <t>CLASS PREDICTED</t>
  </si>
  <si>
    <t>T0</t>
  </si>
  <si>
    <t>T1</t>
  </si>
  <si>
    <t>T3</t>
  </si>
  <si>
    <t>T5</t>
  </si>
  <si>
    <t>CRE+</t>
  </si>
  <si>
    <t>VECPAC_CTRL</t>
  </si>
  <si>
    <t>LPS_CTRL</t>
  </si>
  <si>
    <t>57% VECPAC_CTRL</t>
  </si>
  <si>
    <t>57% CRE+</t>
  </si>
  <si>
    <t>86% VECPAC_CTRL</t>
  </si>
  <si>
    <t>86% CRE+</t>
  </si>
  <si>
    <t>100% VECPAC_CTRL</t>
  </si>
  <si>
    <t>86% 2.5H</t>
  </si>
  <si>
    <t>86% CTRL</t>
  </si>
  <si>
    <t>100% CTRL</t>
  </si>
  <si>
    <t>57% 2.5H</t>
  </si>
  <si>
    <t>57% CTRL</t>
  </si>
  <si>
    <t>2.5H VS CTRL</t>
  </si>
  <si>
    <t>24H VS CTRL</t>
  </si>
  <si>
    <t>100% 2.5h</t>
  </si>
  <si>
    <t>83% 2.5H</t>
  </si>
  <si>
    <t>100% 24H</t>
  </si>
  <si>
    <t>66% 24H</t>
  </si>
  <si>
    <t>66% 2.5H</t>
  </si>
  <si>
    <t>86% 24H</t>
  </si>
  <si>
    <t>71% 24H</t>
  </si>
  <si>
    <t>57% 24H</t>
  </si>
  <si>
    <t>100% 2.5H</t>
  </si>
  <si>
    <t>50% 2.5H</t>
  </si>
  <si>
    <t>100% T1</t>
  </si>
  <si>
    <t>100% T0</t>
  </si>
  <si>
    <t>83% T0</t>
  </si>
  <si>
    <t>83% T1</t>
  </si>
  <si>
    <t>86% T0</t>
  </si>
  <si>
    <t>86% T1</t>
  </si>
  <si>
    <t>57% T1</t>
  </si>
  <si>
    <t>50% T0</t>
  </si>
  <si>
    <t>100% T3</t>
  </si>
  <si>
    <t>86% T3</t>
  </si>
  <si>
    <t>50% T0 50% T5</t>
  </si>
  <si>
    <t>100% T5</t>
  </si>
  <si>
    <t>86% T5</t>
  </si>
  <si>
    <t>66% T5</t>
  </si>
  <si>
    <t>57% T5</t>
  </si>
  <si>
    <t>71% T0</t>
  </si>
  <si>
    <t>71% T5</t>
  </si>
  <si>
    <t>50% T1 50% T3</t>
  </si>
  <si>
    <t>66% T1</t>
  </si>
  <si>
    <t>66% T3</t>
  </si>
  <si>
    <t>71% T1</t>
  </si>
  <si>
    <t>71% T3</t>
  </si>
  <si>
    <t>83% T3</t>
  </si>
  <si>
    <t>57% T3</t>
  </si>
  <si>
    <t>83% T5</t>
  </si>
  <si>
    <t>50% T3 50% T5</t>
  </si>
  <si>
    <t>CRE VS CTRL</t>
  </si>
  <si>
    <t>2.5H VS 24H</t>
  </si>
  <si>
    <t>T0 VS T1</t>
  </si>
  <si>
    <t>T0 VS T3</t>
  </si>
  <si>
    <t>T0 VS T5</t>
  </si>
  <si>
    <t>T1 VS T3</t>
  </si>
  <si>
    <t>T1 VS T5</t>
  </si>
  <si>
    <t>classe finale</t>
  </si>
  <si>
    <t>classe originale</t>
  </si>
  <si>
    <t>classe_timepoint</t>
  </si>
  <si>
    <t>DSS_T0</t>
  </si>
  <si>
    <t>DSS_T1</t>
  </si>
  <si>
    <t>DSS_T3</t>
  </si>
  <si>
    <t>DSS_T5</t>
  </si>
  <si>
    <t>LPS_2.5</t>
  </si>
  <si>
    <t>LPS_24</t>
  </si>
  <si>
    <t>LPS_LPS_CTRL</t>
  </si>
  <si>
    <t>VECPAC_CRE+</t>
  </si>
  <si>
    <t>DSS_T2</t>
  </si>
  <si>
    <t>DSS_T4</t>
  </si>
  <si>
    <t>DSS_T6</t>
  </si>
  <si>
    <t>T3 VS T5</t>
  </si>
  <si>
    <t>Action</t>
  </si>
  <si>
    <t>Switch</t>
  </si>
  <si>
    <t>T3/T5</t>
  </si>
  <si>
    <t>Keep</t>
  </si>
  <si>
    <t>Drop</t>
  </si>
  <si>
    <t>No DSS_T1</t>
  </si>
  <si>
    <t>2.5h</t>
  </si>
  <si>
    <t>No LPS_24</t>
  </si>
  <si>
    <t>No LPS_LPS_CTRL</t>
  </si>
  <si>
    <t>No VECPAC_CRE+</t>
  </si>
  <si>
    <t>No VECPAC_CTRL</t>
  </si>
  <si>
    <t>No DSS_T5</t>
  </si>
  <si>
    <t>Total</t>
  </si>
  <si>
    <t xml:space="preserve">VECPAC CTRL </t>
  </si>
  <si>
    <t>LPS CTRL</t>
  </si>
  <si>
    <t>LPS 2.5</t>
  </si>
  <si>
    <t>LPS 24</t>
  </si>
  <si>
    <t>DSS T0</t>
  </si>
  <si>
    <t>DSS T1</t>
  </si>
  <si>
    <t>DSS T3</t>
  </si>
  <si>
    <t>DSS T5</t>
  </si>
  <si>
    <t>Switch Original class</t>
  </si>
  <si>
    <t>Switch New Class</t>
  </si>
  <si>
    <r>
      <rPr>
        <b/>
        <sz val="9"/>
        <color theme="1"/>
        <rFont val="Calibri"/>
        <family val="2"/>
        <scheme val="minor"/>
      </rPr>
      <t>3680; 3629.1</t>
    </r>
    <r>
      <rPr>
        <sz val="9"/>
        <color theme="1"/>
        <rFont val="Calibri"/>
        <family val="2"/>
        <scheme val="minor"/>
      </rPr>
      <t>_REP_VECPAC_200224;</t>
    </r>
    <r>
      <rPr>
        <b/>
        <sz val="9"/>
        <color theme="1"/>
        <rFont val="Calibri"/>
        <family val="2"/>
        <scheme val="minor"/>
      </rPr>
      <t>3687</t>
    </r>
    <r>
      <rPr>
        <sz val="9"/>
        <color theme="1"/>
        <rFont val="Calibri"/>
        <family val="2"/>
        <scheme val="minor"/>
      </rPr>
      <t>_VECPAC_190224</t>
    </r>
  </si>
  <si>
    <t>CSF</t>
  </si>
  <si>
    <t>FECI</t>
  </si>
  <si>
    <r>
      <t>Feci_Vecpac-WT_</t>
    </r>
    <r>
      <rPr>
        <b/>
        <sz val="11"/>
        <color theme="1"/>
        <rFont val="Calibri"/>
        <family val="2"/>
        <scheme val="minor"/>
      </rPr>
      <t>3336</t>
    </r>
    <r>
      <rPr>
        <sz val="11"/>
        <color theme="1"/>
        <rFont val="Calibri"/>
        <family val="2"/>
        <scheme val="minor"/>
      </rPr>
      <t>_29022024</t>
    </r>
  </si>
  <si>
    <r>
      <t>Feci_Vecpac-CRE_</t>
    </r>
    <r>
      <rPr>
        <b/>
        <sz val="11"/>
        <color theme="1"/>
        <rFont val="Calibri"/>
        <family val="2"/>
        <scheme val="minor"/>
      </rPr>
      <t>3304</t>
    </r>
    <r>
      <rPr>
        <sz val="11"/>
        <color theme="1"/>
        <rFont val="Calibri"/>
        <family val="2"/>
        <scheme val="minor"/>
      </rPr>
      <t>_01032024</t>
    </r>
  </si>
  <si>
    <t>Original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</si>
</sst>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23">
    <xf numFmtId="0" fontId="0" fillId="0" borderId="0" xfId="0"/>
    <xf numFmtId="0" fontId="2" fillId="4" borderId="0" xfId="3"/>
    <xf numFmtId="0" fontId="3" fillId="2" borderId="0" xfId="1"/>
    <xf numFmtId="0" fontId="2" fillId="3" borderId="0" xfId="2"/>
    <xf numFmtId="0" fontId="1" fillId="5" borderId="0" xfId="4"/>
    <xf numFmtId="0" fontId="0" fillId="6" borderId="0" xfId="0" applyFill="1"/>
    <xf numFmtId="0" fontId="0" fillId="7" borderId="0" xfId="0" applyFill="1"/>
    <xf numFmtId="0" fontId="1" fillId="0" borderId="0" xfId="4" applyFill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8" borderId="1" xfId="0" applyFill="1" applyBorder="1"/>
    <xf numFmtId="0" fontId="5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0" fillId="9" borderId="0" xfId="0" applyFill="1"/>
    <xf numFmtId="0" fontId="0" fillId="10" borderId="1" xfId="0" applyFill="1" applyBorder="1"/>
    <xf numFmtId="0" fontId="0" fillId="11" borderId="0" xfId="0" applyFill="1"/>
    <xf numFmtId="9" fontId="0" fillId="11" borderId="0" xfId="0" applyNumberFormat="1" applyFill="1"/>
  </cellXfs>
  <cellStyles count="5">
    <cellStyle name="20% - Accent1" xfId="4" builtinId="30"/>
    <cellStyle name="20% - Accent2" xfId="3" builtinId="34"/>
    <cellStyle name="40% - Accent1" xfId="2" builtinId="31"/>
    <cellStyle name="Good" xfId="1" builtinId="2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32.6640625" bestFit="1" customWidth="1"/>
    <col min="2" max="3" width="13.5" bestFit="1" customWidth="1"/>
    <col min="4" max="4" width="15.1640625" bestFit="1" customWidth="1"/>
    <col min="5" max="5" width="18.5" customWidth="1"/>
    <col min="6" max="6" width="30.1640625" bestFit="1" customWidth="1"/>
    <col min="7" max="7" width="18.33203125" customWidth="1"/>
    <col min="13" max="13" width="32.6640625" bestFit="1" customWidth="1"/>
  </cols>
  <sheetData>
    <row r="1" spans="1:7" x14ac:dyDescent="0.2">
      <c r="A1" t="s">
        <v>61</v>
      </c>
      <c r="B1" t="s">
        <v>104</v>
      </c>
      <c r="C1" t="s">
        <v>62</v>
      </c>
      <c r="D1" t="s">
        <v>137</v>
      </c>
      <c r="E1" t="s">
        <v>139</v>
      </c>
      <c r="F1" t="s">
        <v>138</v>
      </c>
      <c r="G1" t="s">
        <v>141</v>
      </c>
    </row>
    <row r="2" spans="1:7" x14ac:dyDescent="0.2">
      <c r="A2" t="s">
        <v>88</v>
      </c>
      <c r="B2" t="s">
        <v>102</v>
      </c>
      <c r="C2" t="s">
        <v>3</v>
      </c>
      <c r="D2" t="s">
        <v>66</v>
      </c>
      <c r="E2" t="s">
        <v>68</v>
      </c>
      <c r="F2" s="1" t="s">
        <v>1</v>
      </c>
      <c r="G2" t="s">
        <v>142</v>
      </c>
    </row>
    <row r="3" spans="1:7" x14ac:dyDescent="0.2">
      <c r="A3" t="s">
        <v>89</v>
      </c>
      <c r="B3" t="s">
        <v>99</v>
      </c>
      <c r="C3" t="s">
        <v>3</v>
      </c>
      <c r="D3" t="s">
        <v>66</v>
      </c>
      <c r="E3" t="s">
        <v>68</v>
      </c>
      <c r="F3" s="1" t="s">
        <v>1</v>
      </c>
      <c r="G3" t="s">
        <v>142</v>
      </c>
    </row>
    <row r="4" spans="1:7" x14ac:dyDescent="0.2">
      <c r="A4" t="s">
        <v>90</v>
      </c>
      <c r="B4" t="s">
        <v>103</v>
      </c>
      <c r="C4" t="s">
        <v>3</v>
      </c>
      <c r="D4" t="s">
        <v>98</v>
      </c>
      <c r="E4" t="s">
        <v>68</v>
      </c>
      <c r="F4" t="s">
        <v>68</v>
      </c>
      <c r="G4" t="s">
        <v>143</v>
      </c>
    </row>
    <row r="5" spans="1:7" x14ac:dyDescent="0.2">
      <c r="A5" t="s">
        <v>91</v>
      </c>
      <c r="B5" t="s">
        <v>103</v>
      </c>
      <c r="C5" t="s">
        <v>3</v>
      </c>
      <c r="D5" t="s">
        <v>66</v>
      </c>
      <c r="E5" t="s">
        <v>68</v>
      </c>
      <c r="F5" s="1" t="s">
        <v>1</v>
      </c>
      <c r="G5" t="s">
        <v>142</v>
      </c>
    </row>
    <row r="6" spans="1:7" x14ac:dyDescent="0.2">
      <c r="A6" t="s">
        <v>92</v>
      </c>
      <c r="B6" t="s">
        <v>99</v>
      </c>
      <c r="C6" t="s">
        <v>3</v>
      </c>
      <c r="D6" t="s">
        <v>134</v>
      </c>
      <c r="E6" t="s">
        <v>68</v>
      </c>
      <c r="F6" s="1" t="s">
        <v>1</v>
      </c>
      <c r="G6" t="s">
        <v>142</v>
      </c>
    </row>
    <row r="7" spans="1:7" x14ac:dyDescent="0.2">
      <c r="A7" t="s">
        <v>93</v>
      </c>
      <c r="B7" t="s">
        <v>64</v>
      </c>
      <c r="C7" t="s">
        <v>3</v>
      </c>
      <c r="D7" t="s">
        <v>66</v>
      </c>
      <c r="E7" t="s">
        <v>68</v>
      </c>
      <c r="F7" s="1" t="s">
        <v>1</v>
      </c>
      <c r="G7" t="s">
        <v>142</v>
      </c>
    </row>
    <row r="8" spans="1:7" x14ac:dyDescent="0.2">
      <c r="A8" t="s">
        <v>94</v>
      </c>
      <c r="B8" t="s">
        <v>64</v>
      </c>
      <c r="C8" t="s">
        <v>3</v>
      </c>
      <c r="D8" t="s">
        <v>101</v>
      </c>
      <c r="E8" t="s">
        <v>68</v>
      </c>
      <c r="F8" s="1" t="s">
        <v>1</v>
      </c>
      <c r="G8" t="s">
        <v>142</v>
      </c>
    </row>
    <row r="9" spans="1:7" x14ac:dyDescent="0.2">
      <c r="A9" t="s">
        <v>95</v>
      </c>
      <c r="B9" t="s">
        <v>63</v>
      </c>
      <c r="C9" t="s">
        <v>3</v>
      </c>
      <c r="D9" t="s">
        <v>66</v>
      </c>
      <c r="E9" t="s">
        <v>68</v>
      </c>
      <c r="F9" s="1" t="s">
        <v>1</v>
      </c>
      <c r="G9" t="s">
        <v>142</v>
      </c>
    </row>
    <row r="10" spans="1:7" x14ac:dyDescent="0.2">
      <c r="A10" t="s">
        <v>81</v>
      </c>
      <c r="B10" t="s">
        <v>102</v>
      </c>
      <c r="C10" t="s">
        <v>3</v>
      </c>
      <c r="D10" t="s">
        <v>66</v>
      </c>
      <c r="E10" t="s">
        <v>68</v>
      </c>
      <c r="F10" s="1" t="s">
        <v>1</v>
      </c>
      <c r="G10" t="s">
        <v>142</v>
      </c>
    </row>
    <row r="11" spans="1:7" x14ac:dyDescent="0.2">
      <c r="A11" t="s">
        <v>82</v>
      </c>
      <c r="B11" t="s">
        <v>102</v>
      </c>
      <c r="C11" t="s">
        <v>3</v>
      </c>
      <c r="D11" t="s">
        <v>135</v>
      </c>
      <c r="E11" t="s">
        <v>68</v>
      </c>
      <c r="F11" s="1" t="s">
        <v>1</v>
      </c>
      <c r="G11" t="s">
        <v>142</v>
      </c>
    </row>
    <row r="12" spans="1:7" x14ac:dyDescent="0.2">
      <c r="A12" t="s">
        <v>83</v>
      </c>
      <c r="B12" t="s">
        <v>98</v>
      </c>
      <c r="C12" t="s">
        <v>3</v>
      </c>
      <c r="D12" t="s">
        <v>66</v>
      </c>
      <c r="E12" t="s">
        <v>68</v>
      </c>
      <c r="F12" t="s">
        <v>68</v>
      </c>
      <c r="G12" t="s">
        <v>143</v>
      </c>
    </row>
    <row r="13" spans="1:7" x14ac:dyDescent="0.2">
      <c r="A13" t="s">
        <v>84</v>
      </c>
      <c r="B13" t="s">
        <v>103</v>
      </c>
      <c r="C13" t="s">
        <v>3</v>
      </c>
      <c r="D13" t="s">
        <v>66</v>
      </c>
      <c r="E13" t="s">
        <v>68</v>
      </c>
      <c r="F13" s="1" t="s">
        <v>1</v>
      </c>
      <c r="G13" t="s">
        <v>142</v>
      </c>
    </row>
    <row r="14" spans="1:7" x14ac:dyDescent="0.2">
      <c r="A14" t="s">
        <v>85</v>
      </c>
      <c r="B14" t="s">
        <v>64</v>
      </c>
      <c r="C14" t="s">
        <v>3</v>
      </c>
      <c r="D14" t="s">
        <v>136</v>
      </c>
      <c r="E14" t="s">
        <v>68</v>
      </c>
      <c r="F14" s="1" t="s">
        <v>35</v>
      </c>
      <c r="G14" t="s">
        <v>142</v>
      </c>
    </row>
    <row r="15" spans="1:7" x14ac:dyDescent="0.2">
      <c r="A15" t="s">
        <v>86</v>
      </c>
      <c r="B15" t="s">
        <v>64</v>
      </c>
      <c r="C15" t="s">
        <v>3</v>
      </c>
      <c r="D15" t="s">
        <v>101</v>
      </c>
      <c r="E15" t="s">
        <v>68</v>
      </c>
      <c r="F15" s="1" t="s">
        <v>35</v>
      </c>
      <c r="G15" t="s">
        <v>142</v>
      </c>
    </row>
    <row r="16" spans="1:7" x14ac:dyDescent="0.2">
      <c r="A16" t="s">
        <v>96</v>
      </c>
      <c r="B16" t="s">
        <v>64</v>
      </c>
      <c r="C16" t="s">
        <v>3</v>
      </c>
      <c r="D16" t="s">
        <v>135</v>
      </c>
      <c r="E16" t="s">
        <v>68</v>
      </c>
      <c r="F16" s="1" t="s">
        <v>35</v>
      </c>
      <c r="G16" t="s">
        <v>142</v>
      </c>
    </row>
    <row r="17" spans="1:7" x14ac:dyDescent="0.2">
      <c r="A17" t="s">
        <v>87</v>
      </c>
      <c r="B17" t="s">
        <v>99</v>
      </c>
      <c r="C17" t="s">
        <v>3</v>
      </c>
      <c r="D17" t="s">
        <v>66</v>
      </c>
      <c r="E17" t="s">
        <v>68</v>
      </c>
      <c r="F17" s="1" t="s">
        <v>1</v>
      </c>
      <c r="G17" t="s">
        <v>142</v>
      </c>
    </row>
    <row r="18" spans="1:7" x14ac:dyDescent="0.2">
      <c r="A18" t="s">
        <v>105</v>
      </c>
      <c r="B18" t="s">
        <v>3</v>
      </c>
      <c r="C18" t="s">
        <v>65</v>
      </c>
      <c r="D18" t="s">
        <v>66</v>
      </c>
      <c r="E18" t="s">
        <v>1</v>
      </c>
      <c r="F18" t="s">
        <v>1</v>
      </c>
      <c r="G18" t="s">
        <v>143</v>
      </c>
    </row>
    <row r="19" spans="1:7" x14ac:dyDescent="0.2">
      <c r="A19" t="s">
        <v>119</v>
      </c>
      <c r="B19" t="s">
        <v>3</v>
      </c>
      <c r="C19" t="s">
        <v>66</v>
      </c>
      <c r="D19" t="s">
        <v>66</v>
      </c>
      <c r="E19" t="s">
        <v>1</v>
      </c>
      <c r="F19" t="s">
        <v>1</v>
      </c>
      <c r="G19" t="s">
        <v>143</v>
      </c>
    </row>
    <row r="20" spans="1:7" x14ac:dyDescent="0.2">
      <c r="A20" t="s">
        <v>106</v>
      </c>
      <c r="B20" t="s">
        <v>3</v>
      </c>
      <c r="C20" t="s">
        <v>64</v>
      </c>
      <c r="D20" t="s">
        <v>98</v>
      </c>
      <c r="E20" t="s">
        <v>1</v>
      </c>
      <c r="F20" s="1" t="s">
        <v>140</v>
      </c>
      <c r="G20" t="s">
        <v>142</v>
      </c>
    </row>
    <row r="21" spans="1:7" x14ac:dyDescent="0.2">
      <c r="A21" t="s">
        <v>107</v>
      </c>
      <c r="B21" t="s">
        <v>3</v>
      </c>
      <c r="C21" t="s">
        <v>132</v>
      </c>
      <c r="D21" t="s">
        <v>98</v>
      </c>
      <c r="E21" t="s">
        <v>1</v>
      </c>
      <c r="F21" s="1" t="s">
        <v>68</v>
      </c>
      <c r="G21" t="s">
        <v>142</v>
      </c>
    </row>
    <row r="22" spans="1:7" x14ac:dyDescent="0.2">
      <c r="A22" t="s">
        <v>108</v>
      </c>
      <c r="B22" t="s">
        <v>3</v>
      </c>
      <c r="C22" t="s">
        <v>64</v>
      </c>
      <c r="D22" t="s">
        <v>98</v>
      </c>
      <c r="E22" t="s">
        <v>1</v>
      </c>
      <c r="F22" s="1" t="s">
        <v>140</v>
      </c>
      <c r="G22" t="s">
        <v>142</v>
      </c>
    </row>
    <row r="23" spans="1:7" x14ac:dyDescent="0.2">
      <c r="A23" t="s">
        <v>109</v>
      </c>
      <c r="B23" t="s">
        <v>3</v>
      </c>
      <c r="C23" t="s">
        <v>64</v>
      </c>
      <c r="D23" t="s">
        <v>98</v>
      </c>
      <c r="E23" t="s">
        <v>1</v>
      </c>
      <c r="F23" s="1" t="s">
        <v>140</v>
      </c>
      <c r="G23" t="s">
        <v>142</v>
      </c>
    </row>
    <row r="24" spans="1:7" x14ac:dyDescent="0.2">
      <c r="A24" t="s">
        <v>110</v>
      </c>
      <c r="B24" t="s">
        <v>3</v>
      </c>
      <c r="C24" t="s">
        <v>132</v>
      </c>
      <c r="D24" t="s">
        <v>98</v>
      </c>
      <c r="E24" t="s">
        <v>1</v>
      </c>
      <c r="F24" s="1" t="s">
        <v>68</v>
      </c>
      <c r="G24" t="s">
        <v>142</v>
      </c>
    </row>
    <row r="25" spans="1:7" x14ac:dyDescent="0.2">
      <c r="A25" t="s">
        <v>111</v>
      </c>
      <c r="B25" t="s">
        <v>3</v>
      </c>
      <c r="C25" t="s">
        <v>64</v>
      </c>
      <c r="D25" t="s">
        <v>98</v>
      </c>
      <c r="E25" t="s">
        <v>1</v>
      </c>
      <c r="F25" s="1" t="s">
        <v>140</v>
      </c>
      <c r="G25" t="s">
        <v>142</v>
      </c>
    </row>
    <row r="26" spans="1:7" x14ac:dyDescent="0.2">
      <c r="A26" t="s">
        <v>112</v>
      </c>
      <c r="B26" t="s">
        <v>3</v>
      </c>
      <c r="C26" t="s">
        <v>64</v>
      </c>
      <c r="D26" t="s">
        <v>98</v>
      </c>
      <c r="E26" t="s">
        <v>1</v>
      </c>
      <c r="F26" s="1" t="s">
        <v>140</v>
      </c>
      <c r="G26" t="s">
        <v>142</v>
      </c>
    </row>
    <row r="27" spans="1:7" x14ac:dyDescent="0.2">
      <c r="A27" t="s">
        <v>113</v>
      </c>
      <c r="B27" t="s">
        <v>3</v>
      </c>
      <c r="C27" t="s">
        <v>64</v>
      </c>
      <c r="D27" t="s">
        <v>98</v>
      </c>
      <c r="E27" t="s">
        <v>1</v>
      </c>
      <c r="F27" s="1" t="s">
        <v>140</v>
      </c>
      <c r="G27" t="s">
        <v>142</v>
      </c>
    </row>
    <row r="28" spans="1:7" x14ac:dyDescent="0.2">
      <c r="A28" t="s">
        <v>114</v>
      </c>
      <c r="B28" t="s">
        <v>3</v>
      </c>
      <c r="C28" t="s">
        <v>66</v>
      </c>
      <c r="D28" t="s">
        <v>98</v>
      </c>
      <c r="E28" t="s">
        <v>1</v>
      </c>
      <c r="F28" t="s">
        <v>1</v>
      </c>
      <c r="G28" t="s">
        <v>143</v>
      </c>
    </row>
    <row r="29" spans="1:7" x14ac:dyDescent="0.2">
      <c r="A29" t="s">
        <v>115</v>
      </c>
      <c r="B29" t="s">
        <v>3</v>
      </c>
      <c r="C29" t="s">
        <v>130</v>
      </c>
      <c r="D29" t="s">
        <v>98</v>
      </c>
      <c r="E29" t="s">
        <v>1</v>
      </c>
      <c r="F29" s="1" t="s">
        <v>68</v>
      </c>
      <c r="G29" t="s">
        <v>142</v>
      </c>
    </row>
    <row r="30" spans="1:7" x14ac:dyDescent="0.2">
      <c r="A30" t="s">
        <v>116</v>
      </c>
      <c r="B30" t="s">
        <v>3</v>
      </c>
      <c r="C30" t="s">
        <v>64</v>
      </c>
      <c r="D30" t="s">
        <v>98</v>
      </c>
      <c r="E30" t="s">
        <v>1</v>
      </c>
      <c r="F30" s="1" t="s">
        <v>140</v>
      </c>
      <c r="G30" t="s">
        <v>142</v>
      </c>
    </row>
    <row r="31" spans="1:7" x14ac:dyDescent="0.2">
      <c r="A31" t="s">
        <v>117</v>
      </c>
      <c r="B31" t="s">
        <v>3</v>
      </c>
      <c r="C31" t="s">
        <v>132</v>
      </c>
      <c r="D31" t="s">
        <v>98</v>
      </c>
      <c r="E31" t="s">
        <v>1</v>
      </c>
      <c r="F31" s="1" t="s">
        <v>68</v>
      </c>
      <c r="G31" t="s">
        <v>142</v>
      </c>
    </row>
    <row r="32" spans="1:7" x14ac:dyDescent="0.2">
      <c r="A32" t="s">
        <v>118</v>
      </c>
      <c r="B32" t="s">
        <v>3</v>
      </c>
      <c r="C32" t="s">
        <v>63</v>
      </c>
      <c r="D32" t="s">
        <v>98</v>
      </c>
      <c r="E32" t="s">
        <v>1</v>
      </c>
      <c r="F32" s="1" t="s">
        <v>68</v>
      </c>
      <c r="G32" t="s">
        <v>142</v>
      </c>
    </row>
    <row r="33" spans="1:7" x14ac:dyDescent="0.2">
      <c r="A33" t="s">
        <v>120</v>
      </c>
      <c r="B33" t="s">
        <v>3</v>
      </c>
      <c r="C33" t="s">
        <v>64</v>
      </c>
      <c r="D33" t="s">
        <v>98</v>
      </c>
      <c r="E33" t="s">
        <v>1</v>
      </c>
      <c r="F33" s="1" t="s">
        <v>140</v>
      </c>
      <c r="G33" t="s">
        <v>142</v>
      </c>
    </row>
    <row r="34" spans="1:7" x14ac:dyDescent="0.2">
      <c r="A34" t="s">
        <v>121</v>
      </c>
      <c r="B34" t="s">
        <v>3</v>
      </c>
      <c r="C34" t="s">
        <v>133</v>
      </c>
      <c r="D34" t="s">
        <v>65</v>
      </c>
      <c r="E34" t="s">
        <v>1</v>
      </c>
      <c r="F34" t="s">
        <v>1</v>
      </c>
      <c r="G34" t="s">
        <v>143</v>
      </c>
    </row>
    <row r="35" spans="1:7" x14ac:dyDescent="0.2">
      <c r="A35" t="s">
        <v>122</v>
      </c>
      <c r="B35" t="s">
        <v>3</v>
      </c>
      <c r="C35" t="s">
        <v>66</v>
      </c>
      <c r="D35" t="s">
        <v>66</v>
      </c>
      <c r="E35" t="s">
        <v>1</v>
      </c>
      <c r="F35" t="s">
        <v>1</v>
      </c>
      <c r="G35" t="s">
        <v>143</v>
      </c>
    </row>
    <row r="36" spans="1:7" x14ac:dyDescent="0.2">
      <c r="A36" t="s">
        <v>123</v>
      </c>
      <c r="B36" t="s">
        <v>3</v>
      </c>
      <c r="C36" t="s">
        <v>63</v>
      </c>
      <c r="D36" t="s">
        <v>65</v>
      </c>
      <c r="E36" t="s">
        <v>1</v>
      </c>
      <c r="F36" t="s">
        <v>1</v>
      </c>
      <c r="G36" t="s">
        <v>143</v>
      </c>
    </row>
    <row r="37" spans="1:7" x14ac:dyDescent="0.2">
      <c r="A37" t="s">
        <v>124</v>
      </c>
      <c r="B37" t="s">
        <v>3</v>
      </c>
      <c r="C37" t="s">
        <v>131</v>
      </c>
      <c r="D37" t="s">
        <v>136</v>
      </c>
      <c r="E37" t="s">
        <v>1</v>
      </c>
      <c r="F37" s="1" t="s">
        <v>35</v>
      </c>
      <c r="G37" t="s">
        <v>142</v>
      </c>
    </row>
    <row r="38" spans="1:7" x14ac:dyDescent="0.2">
      <c r="A38" t="s">
        <v>125</v>
      </c>
      <c r="B38" t="s">
        <v>3</v>
      </c>
      <c r="C38" t="s">
        <v>134</v>
      </c>
      <c r="D38" t="s">
        <v>66</v>
      </c>
      <c r="E38" t="s">
        <v>1</v>
      </c>
      <c r="F38" t="s">
        <v>1</v>
      </c>
      <c r="G38" t="s">
        <v>143</v>
      </c>
    </row>
    <row r="39" spans="1:7" x14ac:dyDescent="0.2">
      <c r="A39" t="s">
        <v>126</v>
      </c>
      <c r="B39" t="s">
        <v>3</v>
      </c>
      <c r="C39" t="s">
        <v>130</v>
      </c>
      <c r="D39" t="s">
        <v>66</v>
      </c>
      <c r="E39" t="s">
        <v>1</v>
      </c>
      <c r="F39" t="s">
        <v>1</v>
      </c>
      <c r="G39" t="s">
        <v>143</v>
      </c>
    </row>
    <row r="40" spans="1:7" x14ac:dyDescent="0.2">
      <c r="A40" t="s">
        <v>127</v>
      </c>
      <c r="B40" t="s">
        <v>3</v>
      </c>
      <c r="C40" t="s">
        <v>63</v>
      </c>
      <c r="D40" t="s">
        <v>136</v>
      </c>
      <c r="E40" t="s">
        <v>1</v>
      </c>
      <c r="F40" s="1" t="s">
        <v>35</v>
      </c>
      <c r="G40" t="s">
        <v>142</v>
      </c>
    </row>
    <row r="41" spans="1:7" x14ac:dyDescent="0.2">
      <c r="A41" t="s">
        <v>128</v>
      </c>
      <c r="B41" t="s">
        <v>3</v>
      </c>
      <c r="C41" t="s">
        <v>133</v>
      </c>
      <c r="D41" t="s">
        <v>98</v>
      </c>
      <c r="E41" t="s">
        <v>1</v>
      </c>
      <c r="F41" s="1" t="s">
        <v>68</v>
      </c>
      <c r="G41" t="s">
        <v>142</v>
      </c>
    </row>
    <row r="42" spans="1:7" x14ac:dyDescent="0.2">
      <c r="A42" t="s">
        <v>129</v>
      </c>
      <c r="B42" t="s">
        <v>3</v>
      </c>
      <c r="C42" t="s">
        <v>63</v>
      </c>
      <c r="D42" t="s">
        <v>134</v>
      </c>
      <c r="E42" t="s">
        <v>1</v>
      </c>
      <c r="F42" t="s">
        <v>1</v>
      </c>
      <c r="G42" t="s">
        <v>143</v>
      </c>
    </row>
    <row r="43" spans="1:7" x14ac:dyDescent="0.2">
      <c r="A43" t="s">
        <v>72</v>
      </c>
      <c r="B43" t="s">
        <v>101</v>
      </c>
      <c r="C43" t="s">
        <v>66</v>
      </c>
      <c r="D43" t="s">
        <v>3</v>
      </c>
      <c r="E43" t="s">
        <v>35</v>
      </c>
      <c r="F43" s="1" t="s">
        <v>1</v>
      </c>
      <c r="G43" t="s">
        <v>142</v>
      </c>
    </row>
    <row r="44" spans="1:7" x14ac:dyDescent="0.2">
      <c r="A44" t="s">
        <v>73</v>
      </c>
      <c r="B44" t="s">
        <v>64</v>
      </c>
      <c r="C44" t="s">
        <v>131</v>
      </c>
      <c r="D44" t="s">
        <v>3</v>
      </c>
      <c r="E44" t="s">
        <v>35</v>
      </c>
      <c r="F44" t="s">
        <v>35</v>
      </c>
      <c r="G44" t="s">
        <v>143</v>
      </c>
    </row>
    <row r="45" spans="1:7" x14ac:dyDescent="0.2">
      <c r="A45" t="s">
        <v>74</v>
      </c>
      <c r="B45" t="s">
        <v>98</v>
      </c>
      <c r="C45" t="s">
        <v>133</v>
      </c>
      <c r="D45" t="s">
        <v>3</v>
      </c>
      <c r="E45" t="s">
        <v>35</v>
      </c>
      <c r="F45" s="1" t="s">
        <v>68</v>
      </c>
      <c r="G45" t="s">
        <v>142</v>
      </c>
    </row>
    <row r="46" spans="1:7" x14ac:dyDescent="0.2">
      <c r="A46" t="s">
        <v>75</v>
      </c>
      <c r="B46" t="s">
        <v>64</v>
      </c>
      <c r="C46" t="s">
        <v>131</v>
      </c>
      <c r="D46" t="s">
        <v>3</v>
      </c>
      <c r="E46" t="s">
        <v>35</v>
      </c>
      <c r="F46" t="s">
        <v>35</v>
      </c>
      <c r="G46" t="s">
        <v>143</v>
      </c>
    </row>
    <row r="47" spans="1:7" x14ac:dyDescent="0.2">
      <c r="A47" t="s">
        <v>76</v>
      </c>
      <c r="B47" t="s">
        <v>101</v>
      </c>
      <c r="C47" t="s">
        <v>131</v>
      </c>
      <c r="D47" t="s">
        <v>3</v>
      </c>
      <c r="E47" t="s">
        <v>35</v>
      </c>
      <c r="F47" s="1" t="s">
        <v>68</v>
      </c>
      <c r="G47" t="s">
        <v>142</v>
      </c>
    </row>
    <row r="48" spans="1:7" x14ac:dyDescent="0.2">
      <c r="A48" t="s">
        <v>77</v>
      </c>
      <c r="B48" t="s">
        <v>99</v>
      </c>
      <c r="C48" t="s">
        <v>134</v>
      </c>
      <c r="D48" t="s">
        <v>3</v>
      </c>
      <c r="E48" t="s">
        <v>35</v>
      </c>
      <c r="F48" s="1" t="s">
        <v>1</v>
      </c>
      <c r="G48" t="s">
        <v>142</v>
      </c>
    </row>
    <row r="49" spans="1:7" x14ac:dyDescent="0.2">
      <c r="A49" t="s">
        <v>78</v>
      </c>
      <c r="B49" t="s">
        <v>97</v>
      </c>
      <c r="C49" t="s">
        <v>66</v>
      </c>
      <c r="D49" t="s">
        <v>3</v>
      </c>
      <c r="E49" t="s">
        <v>35</v>
      </c>
      <c r="F49" s="1" t="s">
        <v>1</v>
      </c>
      <c r="G49" t="s">
        <v>142</v>
      </c>
    </row>
    <row r="50" spans="1:7" x14ac:dyDescent="0.2">
      <c r="A50" t="s">
        <v>79</v>
      </c>
      <c r="B50" t="s">
        <v>101</v>
      </c>
      <c r="C50" t="s">
        <v>135</v>
      </c>
      <c r="D50" t="s">
        <v>3</v>
      </c>
      <c r="E50" t="s">
        <v>35</v>
      </c>
      <c r="F50" s="1" t="s">
        <v>68</v>
      </c>
      <c r="G50" t="s">
        <v>142</v>
      </c>
    </row>
    <row r="51" spans="1:7" x14ac:dyDescent="0.2">
      <c r="A51" t="s">
        <v>80</v>
      </c>
      <c r="B51" t="s">
        <v>99</v>
      </c>
      <c r="C51" t="s">
        <v>134</v>
      </c>
      <c r="D51" t="s">
        <v>3</v>
      </c>
      <c r="E51" t="s">
        <v>35</v>
      </c>
      <c r="F51" s="1" t="s">
        <v>1</v>
      </c>
      <c r="G51" t="s">
        <v>142</v>
      </c>
    </row>
    <row r="52" spans="1:7" x14ac:dyDescent="0.2">
      <c r="A52" t="s">
        <v>67</v>
      </c>
      <c r="B52" t="s">
        <v>97</v>
      </c>
      <c r="C52" t="s">
        <v>66</v>
      </c>
      <c r="D52" t="s">
        <v>3</v>
      </c>
      <c r="E52" t="s">
        <v>35</v>
      </c>
      <c r="F52" s="1" t="s">
        <v>1</v>
      </c>
      <c r="G52" t="s">
        <v>142</v>
      </c>
    </row>
    <row r="53" spans="1:7" x14ac:dyDescent="0.2">
      <c r="A53" t="s">
        <v>69</v>
      </c>
      <c r="B53" t="s">
        <v>98</v>
      </c>
      <c r="C53" t="s">
        <v>131</v>
      </c>
      <c r="D53" t="s">
        <v>3</v>
      </c>
      <c r="E53" t="s">
        <v>35</v>
      </c>
      <c r="F53" s="1" t="s">
        <v>68</v>
      </c>
      <c r="G53" t="s">
        <v>142</v>
      </c>
    </row>
    <row r="54" spans="1:7" x14ac:dyDescent="0.2">
      <c r="A54" t="s">
        <v>70</v>
      </c>
      <c r="B54" t="s">
        <v>64</v>
      </c>
      <c r="C54" t="s">
        <v>64</v>
      </c>
      <c r="D54" t="s">
        <v>3</v>
      </c>
      <c r="E54" t="s">
        <v>35</v>
      </c>
      <c r="F54" t="s">
        <v>35</v>
      </c>
      <c r="G54" t="s">
        <v>143</v>
      </c>
    </row>
    <row r="55" spans="1:7" x14ac:dyDescent="0.2">
      <c r="A55" t="s">
        <v>71</v>
      </c>
      <c r="B55" t="s">
        <v>100</v>
      </c>
      <c r="C55" t="s">
        <v>64</v>
      </c>
      <c r="D55" t="s">
        <v>3</v>
      </c>
      <c r="E55" t="s">
        <v>35</v>
      </c>
      <c r="F55" t="s">
        <v>35</v>
      </c>
      <c r="G55" t="s">
        <v>143</v>
      </c>
    </row>
  </sheetData>
  <sortState xmlns:xlrd2="http://schemas.microsoft.com/office/spreadsheetml/2017/richdata2" ref="A68:H108">
    <sortCondition ref="A6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workbookViewId="0">
      <selection activeCell="G2" sqref="G2:G124"/>
    </sheetView>
  </sheetViews>
  <sheetFormatPr baseColWidth="10" defaultColWidth="8.83203125" defaultRowHeight="15" x14ac:dyDescent="0.2"/>
  <cols>
    <col min="1" max="2" width="32.6640625" bestFit="1" customWidth="1"/>
    <col min="3" max="3" width="13.33203125" bestFit="1" customWidth="1"/>
    <col min="4" max="4" width="15.6640625" bestFit="1" customWidth="1"/>
    <col min="5" max="5" width="9.83203125" bestFit="1" customWidth="1"/>
    <col min="6" max="6" width="13.1640625" customWidth="1"/>
    <col min="7" max="7" width="32.6640625" bestFit="1" customWidth="1"/>
    <col min="11" max="11" width="32.6640625" bestFit="1" customWidth="1"/>
  </cols>
  <sheetData>
    <row r="1" spans="1:7" x14ac:dyDescent="0.2">
      <c r="A1" t="s">
        <v>61</v>
      </c>
      <c r="B1" t="s">
        <v>145</v>
      </c>
      <c r="C1" t="s">
        <v>146</v>
      </c>
      <c r="D1" t="s">
        <v>159</v>
      </c>
      <c r="E1" t="s">
        <v>141</v>
      </c>
      <c r="F1" t="s">
        <v>144</v>
      </c>
      <c r="G1" t="s">
        <v>224</v>
      </c>
    </row>
    <row r="2" spans="1:7" x14ac:dyDescent="0.2">
      <c r="A2" t="s">
        <v>2</v>
      </c>
      <c r="B2" s="2" t="s">
        <v>1</v>
      </c>
      <c r="C2">
        <v>1</v>
      </c>
      <c r="D2" s="2" t="s">
        <v>1</v>
      </c>
      <c r="E2" t="s">
        <v>158</v>
      </c>
      <c r="F2" t="s">
        <v>160</v>
      </c>
      <c r="G2" t="str">
        <f>CONCATENATE(B2,"_",F2)</f>
        <v>DSS_T0</v>
      </c>
    </row>
    <row r="3" spans="1:7" x14ac:dyDescent="0.2">
      <c r="A3" t="s">
        <v>4</v>
      </c>
      <c r="B3" s="2" t="s">
        <v>1</v>
      </c>
      <c r="C3">
        <v>1</v>
      </c>
      <c r="D3" s="2" t="s">
        <v>1</v>
      </c>
      <c r="E3" t="s">
        <v>158</v>
      </c>
      <c r="F3" t="s">
        <v>160</v>
      </c>
      <c r="G3" t="str">
        <f t="shared" ref="G3:G66" si="0">CONCATENATE(B3,"_",F3)</f>
        <v>DSS_T0</v>
      </c>
    </row>
    <row r="4" spans="1:7" x14ac:dyDescent="0.2">
      <c r="A4" t="s">
        <v>5</v>
      </c>
      <c r="B4" s="2" t="s">
        <v>1</v>
      </c>
      <c r="C4">
        <v>1</v>
      </c>
      <c r="D4" s="2" t="s">
        <v>1</v>
      </c>
      <c r="E4" t="s">
        <v>158</v>
      </c>
      <c r="F4" t="s">
        <v>160</v>
      </c>
      <c r="G4" t="str">
        <f t="shared" si="0"/>
        <v>DSS_T0</v>
      </c>
    </row>
    <row r="5" spans="1:7" x14ac:dyDescent="0.2">
      <c r="A5" t="s">
        <v>6</v>
      </c>
      <c r="B5" s="2" t="s">
        <v>1</v>
      </c>
      <c r="C5">
        <v>1</v>
      </c>
      <c r="D5" s="2" t="s">
        <v>1</v>
      </c>
      <c r="E5" t="s">
        <v>158</v>
      </c>
      <c r="F5" t="s">
        <v>160</v>
      </c>
      <c r="G5" t="str">
        <f t="shared" si="0"/>
        <v>DSS_T0</v>
      </c>
    </row>
    <row r="6" spans="1:7" x14ac:dyDescent="0.2">
      <c r="A6" t="s">
        <v>7</v>
      </c>
      <c r="B6" s="2" t="s">
        <v>1</v>
      </c>
      <c r="C6">
        <v>1</v>
      </c>
      <c r="D6" s="2" t="s">
        <v>1</v>
      </c>
      <c r="E6" t="s">
        <v>158</v>
      </c>
      <c r="F6" t="s">
        <v>160</v>
      </c>
      <c r="G6" t="str">
        <f t="shared" si="0"/>
        <v>DSS_T0</v>
      </c>
    </row>
    <row r="7" spans="1:7" x14ac:dyDescent="0.2">
      <c r="A7" t="s">
        <v>8</v>
      </c>
      <c r="B7" s="2" t="s">
        <v>1</v>
      </c>
      <c r="C7">
        <v>1</v>
      </c>
      <c r="D7" s="2" t="s">
        <v>1</v>
      </c>
      <c r="E7" t="s">
        <v>158</v>
      </c>
      <c r="F7" t="s">
        <v>160</v>
      </c>
      <c r="G7" t="str">
        <f t="shared" si="0"/>
        <v>DSS_T0</v>
      </c>
    </row>
    <row r="8" spans="1:7" x14ac:dyDescent="0.2">
      <c r="A8" t="s">
        <v>105</v>
      </c>
      <c r="B8" s="2" t="s">
        <v>1</v>
      </c>
      <c r="C8">
        <v>0</v>
      </c>
      <c r="D8" s="3" t="s">
        <v>1</v>
      </c>
      <c r="E8" t="s">
        <v>143</v>
      </c>
      <c r="F8" t="s">
        <v>160</v>
      </c>
      <c r="G8" t="str">
        <f t="shared" si="0"/>
        <v>DSS_T0</v>
      </c>
    </row>
    <row r="9" spans="1:7" x14ac:dyDescent="0.2">
      <c r="A9" t="s">
        <v>12</v>
      </c>
      <c r="B9" s="2" t="s">
        <v>1</v>
      </c>
      <c r="C9">
        <v>1</v>
      </c>
      <c r="D9" s="2" t="s">
        <v>1</v>
      </c>
      <c r="E9" t="s">
        <v>158</v>
      </c>
      <c r="F9" t="s">
        <v>161</v>
      </c>
      <c r="G9" t="str">
        <f t="shared" si="0"/>
        <v>DSS_T1</v>
      </c>
    </row>
    <row r="10" spans="1:7" x14ac:dyDescent="0.2">
      <c r="A10" t="s">
        <v>13</v>
      </c>
      <c r="B10" s="2" t="s">
        <v>1</v>
      </c>
      <c r="C10">
        <v>1</v>
      </c>
      <c r="D10" s="2" t="s">
        <v>1</v>
      </c>
      <c r="E10" t="s">
        <v>158</v>
      </c>
      <c r="F10" t="s">
        <v>161</v>
      </c>
      <c r="G10" t="str">
        <f t="shared" si="0"/>
        <v>DSS_T1</v>
      </c>
    </row>
    <row r="11" spans="1:7" x14ac:dyDescent="0.2">
      <c r="A11" t="s">
        <v>14</v>
      </c>
      <c r="B11" s="2" t="s">
        <v>1</v>
      </c>
      <c r="C11">
        <v>1</v>
      </c>
      <c r="D11" s="2" t="s">
        <v>1</v>
      </c>
      <c r="E11" t="s">
        <v>158</v>
      </c>
      <c r="F11" t="s">
        <v>161</v>
      </c>
      <c r="G11" t="str">
        <f t="shared" si="0"/>
        <v>DSS_T1</v>
      </c>
    </row>
    <row r="12" spans="1:7" x14ac:dyDescent="0.2">
      <c r="A12" t="s">
        <v>15</v>
      </c>
      <c r="B12" s="2" t="s">
        <v>1</v>
      </c>
      <c r="C12">
        <v>1</v>
      </c>
      <c r="D12" s="2" t="s">
        <v>1</v>
      </c>
      <c r="E12" t="s">
        <v>158</v>
      </c>
      <c r="F12" t="s">
        <v>161</v>
      </c>
      <c r="G12" t="str">
        <f t="shared" si="0"/>
        <v>DSS_T1</v>
      </c>
    </row>
    <row r="13" spans="1:7" x14ac:dyDescent="0.2">
      <c r="A13" t="s">
        <v>17</v>
      </c>
      <c r="B13" s="2" t="s">
        <v>1</v>
      </c>
      <c r="C13">
        <v>1</v>
      </c>
      <c r="D13" s="2" t="s">
        <v>1</v>
      </c>
      <c r="E13" t="s">
        <v>158</v>
      </c>
      <c r="F13" t="s">
        <v>162</v>
      </c>
      <c r="G13" t="str">
        <f t="shared" si="0"/>
        <v>DSS_T3</v>
      </c>
    </row>
    <row r="14" spans="1:7" x14ac:dyDescent="0.2">
      <c r="A14" t="s">
        <v>18</v>
      </c>
      <c r="B14" s="2" t="s">
        <v>1</v>
      </c>
      <c r="C14">
        <v>1</v>
      </c>
      <c r="D14" s="2" t="s">
        <v>1</v>
      </c>
      <c r="E14" t="s">
        <v>158</v>
      </c>
      <c r="F14" t="s">
        <v>162</v>
      </c>
      <c r="G14" t="str">
        <f t="shared" si="0"/>
        <v>DSS_T3</v>
      </c>
    </row>
    <row r="15" spans="1:7" x14ac:dyDescent="0.2">
      <c r="A15" t="s">
        <v>19</v>
      </c>
      <c r="B15" s="2" t="s">
        <v>1</v>
      </c>
      <c r="C15">
        <v>1</v>
      </c>
      <c r="D15" s="2" t="s">
        <v>1</v>
      </c>
      <c r="E15" t="s">
        <v>158</v>
      </c>
      <c r="F15" t="s">
        <v>162</v>
      </c>
      <c r="G15" t="str">
        <f t="shared" si="0"/>
        <v>DSS_T3</v>
      </c>
    </row>
    <row r="16" spans="1:7" x14ac:dyDescent="0.2">
      <c r="A16" t="s">
        <v>20</v>
      </c>
      <c r="B16" s="2" t="s">
        <v>1</v>
      </c>
      <c r="C16">
        <v>1</v>
      </c>
      <c r="D16" s="2" t="s">
        <v>1</v>
      </c>
      <c r="E16" t="s">
        <v>158</v>
      </c>
      <c r="F16" t="s">
        <v>162</v>
      </c>
      <c r="G16" t="str">
        <f t="shared" si="0"/>
        <v>DSS_T3</v>
      </c>
    </row>
    <row r="17" spans="1:7" x14ac:dyDescent="0.2">
      <c r="A17" t="s">
        <v>21</v>
      </c>
      <c r="B17" s="2" t="s">
        <v>1</v>
      </c>
      <c r="C17">
        <v>1</v>
      </c>
      <c r="D17" s="2" t="s">
        <v>1</v>
      </c>
      <c r="E17" t="s">
        <v>158</v>
      </c>
      <c r="F17" t="s">
        <v>162</v>
      </c>
      <c r="G17" t="str">
        <f t="shared" si="0"/>
        <v>DSS_T3</v>
      </c>
    </row>
    <row r="18" spans="1:7" x14ac:dyDescent="0.2">
      <c r="A18" t="s">
        <v>22</v>
      </c>
      <c r="B18" s="2" t="s">
        <v>1</v>
      </c>
      <c r="C18">
        <v>1</v>
      </c>
      <c r="D18" s="2" t="s">
        <v>1</v>
      </c>
      <c r="E18" t="s">
        <v>158</v>
      </c>
      <c r="F18" t="s">
        <v>162</v>
      </c>
      <c r="G18" t="str">
        <f t="shared" si="0"/>
        <v>DSS_T3</v>
      </c>
    </row>
    <row r="19" spans="1:7" x14ac:dyDescent="0.2">
      <c r="A19" t="s">
        <v>28</v>
      </c>
      <c r="B19" s="2" t="s">
        <v>1</v>
      </c>
      <c r="C19">
        <v>1</v>
      </c>
      <c r="D19" s="2" t="s">
        <v>1</v>
      </c>
      <c r="E19" t="s">
        <v>158</v>
      </c>
      <c r="F19" t="s">
        <v>163</v>
      </c>
      <c r="G19" t="str">
        <f t="shared" si="0"/>
        <v>DSS_T5</v>
      </c>
    </row>
    <row r="20" spans="1:7" x14ac:dyDescent="0.2">
      <c r="A20" t="s">
        <v>29</v>
      </c>
      <c r="B20" s="2" t="s">
        <v>1</v>
      </c>
      <c r="C20">
        <v>1</v>
      </c>
      <c r="D20" s="2" t="s">
        <v>1</v>
      </c>
      <c r="E20" t="s">
        <v>158</v>
      </c>
      <c r="F20" t="s">
        <v>163</v>
      </c>
      <c r="G20" t="str">
        <f t="shared" si="0"/>
        <v>DSS_T5</v>
      </c>
    </row>
    <row r="21" spans="1:7" x14ac:dyDescent="0.2">
      <c r="A21" t="s">
        <v>30</v>
      </c>
      <c r="B21" s="2" t="s">
        <v>1</v>
      </c>
      <c r="C21">
        <v>1</v>
      </c>
      <c r="D21" s="2" t="s">
        <v>1</v>
      </c>
      <c r="E21" t="s">
        <v>158</v>
      </c>
      <c r="F21" t="s">
        <v>163</v>
      </c>
      <c r="G21" t="str">
        <f t="shared" si="0"/>
        <v>DSS_T5</v>
      </c>
    </row>
    <row r="22" spans="1:7" x14ac:dyDescent="0.2">
      <c r="A22" t="s">
        <v>31</v>
      </c>
      <c r="B22" s="2" t="s">
        <v>1</v>
      </c>
      <c r="C22">
        <v>1</v>
      </c>
      <c r="D22" s="2" t="s">
        <v>1</v>
      </c>
      <c r="E22" t="s">
        <v>158</v>
      </c>
      <c r="F22" t="s">
        <v>163</v>
      </c>
      <c r="G22" t="str">
        <f t="shared" si="0"/>
        <v>DSS_T5</v>
      </c>
    </row>
    <row r="23" spans="1:7" x14ac:dyDescent="0.2">
      <c r="A23" t="s">
        <v>25</v>
      </c>
      <c r="B23" s="2" t="s">
        <v>1</v>
      </c>
      <c r="C23">
        <v>1</v>
      </c>
      <c r="D23" s="2" t="s">
        <v>1</v>
      </c>
      <c r="E23" t="s">
        <v>158</v>
      </c>
      <c r="F23" t="s">
        <v>163</v>
      </c>
      <c r="G23" t="str">
        <f t="shared" si="0"/>
        <v>DSS_T5</v>
      </c>
    </row>
    <row r="24" spans="1:7" x14ac:dyDescent="0.2">
      <c r="A24" t="s">
        <v>0</v>
      </c>
      <c r="B24" s="2" t="s">
        <v>1</v>
      </c>
      <c r="C24">
        <v>1</v>
      </c>
      <c r="D24" s="2" t="s">
        <v>1</v>
      </c>
      <c r="E24" t="s">
        <v>158</v>
      </c>
      <c r="F24" t="s">
        <v>160</v>
      </c>
      <c r="G24" t="str">
        <f t="shared" si="0"/>
        <v>DSS_T0</v>
      </c>
    </row>
    <row r="25" spans="1:7" x14ac:dyDescent="0.2">
      <c r="A25" t="s">
        <v>9</v>
      </c>
      <c r="B25" s="2" t="s">
        <v>1</v>
      </c>
      <c r="C25">
        <v>1</v>
      </c>
      <c r="D25" s="2" t="s">
        <v>1</v>
      </c>
      <c r="E25" t="s">
        <v>158</v>
      </c>
      <c r="F25" t="s">
        <v>161</v>
      </c>
      <c r="G25" t="str">
        <f t="shared" si="0"/>
        <v>DSS_T1</v>
      </c>
    </row>
    <row r="26" spans="1:7" x14ac:dyDescent="0.2">
      <c r="A26" t="s">
        <v>10</v>
      </c>
      <c r="B26" s="2" t="s">
        <v>1</v>
      </c>
      <c r="C26">
        <v>1</v>
      </c>
      <c r="D26" s="2" t="s">
        <v>1</v>
      </c>
      <c r="E26" t="s">
        <v>158</v>
      </c>
      <c r="F26" t="s">
        <v>161</v>
      </c>
      <c r="G26" t="str">
        <f t="shared" si="0"/>
        <v>DSS_T1</v>
      </c>
    </row>
    <row r="27" spans="1:7" x14ac:dyDescent="0.2">
      <c r="A27" t="s">
        <v>11</v>
      </c>
      <c r="B27" s="2" t="s">
        <v>1</v>
      </c>
      <c r="C27">
        <v>1</v>
      </c>
      <c r="D27" s="2" t="s">
        <v>1</v>
      </c>
      <c r="E27" t="s">
        <v>158</v>
      </c>
      <c r="F27" t="s">
        <v>161</v>
      </c>
      <c r="G27" t="str">
        <f t="shared" si="0"/>
        <v>DSS_T1</v>
      </c>
    </row>
    <row r="28" spans="1:7" x14ac:dyDescent="0.2">
      <c r="A28" t="s">
        <v>16</v>
      </c>
      <c r="B28" s="2" t="s">
        <v>1</v>
      </c>
      <c r="C28">
        <v>1</v>
      </c>
      <c r="D28" s="2" t="s">
        <v>1</v>
      </c>
      <c r="E28" t="s">
        <v>158</v>
      </c>
      <c r="F28" t="s">
        <v>162</v>
      </c>
      <c r="G28" t="str">
        <f t="shared" si="0"/>
        <v>DSS_T3</v>
      </c>
    </row>
    <row r="29" spans="1:7" x14ac:dyDescent="0.2">
      <c r="A29" t="s">
        <v>119</v>
      </c>
      <c r="B29" s="2" t="s">
        <v>1</v>
      </c>
      <c r="C29">
        <v>0</v>
      </c>
      <c r="D29" s="3" t="s">
        <v>1</v>
      </c>
      <c r="E29" t="s">
        <v>143</v>
      </c>
      <c r="F29" t="s">
        <v>162</v>
      </c>
      <c r="G29" t="str">
        <f t="shared" si="0"/>
        <v>DSS_T3</v>
      </c>
    </row>
    <row r="30" spans="1:7" x14ac:dyDescent="0.2">
      <c r="A30" t="s">
        <v>26</v>
      </c>
      <c r="B30" s="2" t="s">
        <v>1</v>
      </c>
      <c r="C30">
        <v>1</v>
      </c>
      <c r="D30" s="2" t="s">
        <v>1</v>
      </c>
      <c r="E30" t="s">
        <v>158</v>
      </c>
      <c r="F30" t="s">
        <v>163</v>
      </c>
      <c r="G30" t="str">
        <f t="shared" si="0"/>
        <v>DSS_T5</v>
      </c>
    </row>
    <row r="31" spans="1:7" x14ac:dyDescent="0.2">
      <c r="A31" t="s">
        <v>27</v>
      </c>
      <c r="B31" s="2" t="s">
        <v>1</v>
      </c>
      <c r="C31">
        <v>1</v>
      </c>
      <c r="D31" s="2" t="s">
        <v>1</v>
      </c>
      <c r="E31" t="s">
        <v>158</v>
      </c>
      <c r="F31" t="s">
        <v>163</v>
      </c>
      <c r="G31" t="str">
        <f t="shared" si="0"/>
        <v>DSS_T5</v>
      </c>
    </row>
    <row r="32" spans="1:7" x14ac:dyDescent="0.2">
      <c r="A32" t="s">
        <v>106</v>
      </c>
      <c r="B32" s="2" t="s">
        <v>1</v>
      </c>
      <c r="C32">
        <v>0</v>
      </c>
      <c r="D32" s="1" t="s">
        <v>140</v>
      </c>
      <c r="E32" t="s">
        <v>142</v>
      </c>
      <c r="F32" t="s">
        <v>160</v>
      </c>
      <c r="G32" t="str">
        <f t="shared" si="0"/>
        <v>DSS_T0</v>
      </c>
    </row>
    <row r="33" spans="1:7" x14ac:dyDescent="0.2">
      <c r="A33" t="s">
        <v>107</v>
      </c>
      <c r="B33" s="2" t="s">
        <v>1</v>
      </c>
      <c r="C33">
        <v>0</v>
      </c>
      <c r="D33" s="1" t="s">
        <v>68</v>
      </c>
      <c r="E33" t="s">
        <v>142</v>
      </c>
      <c r="F33" t="s">
        <v>160</v>
      </c>
      <c r="G33" t="str">
        <f t="shared" si="0"/>
        <v>DSS_T0</v>
      </c>
    </row>
    <row r="34" spans="1:7" x14ac:dyDescent="0.2">
      <c r="A34" t="s">
        <v>108</v>
      </c>
      <c r="B34" s="2" t="s">
        <v>1</v>
      </c>
      <c r="C34">
        <v>0</v>
      </c>
      <c r="D34" s="1" t="s">
        <v>140</v>
      </c>
      <c r="E34" t="s">
        <v>142</v>
      </c>
      <c r="F34" t="s">
        <v>160</v>
      </c>
      <c r="G34" t="str">
        <f t="shared" si="0"/>
        <v>DSS_T0</v>
      </c>
    </row>
    <row r="35" spans="1:7" x14ac:dyDescent="0.2">
      <c r="A35" t="s">
        <v>109</v>
      </c>
      <c r="B35" s="2" t="s">
        <v>1</v>
      </c>
      <c r="C35">
        <v>0</v>
      </c>
      <c r="D35" s="1" t="s">
        <v>140</v>
      </c>
      <c r="E35" t="s">
        <v>142</v>
      </c>
      <c r="F35" t="s">
        <v>160</v>
      </c>
      <c r="G35" t="str">
        <f t="shared" si="0"/>
        <v>DSS_T0</v>
      </c>
    </row>
    <row r="36" spans="1:7" x14ac:dyDescent="0.2">
      <c r="A36" t="s">
        <v>110</v>
      </c>
      <c r="B36" s="2" t="s">
        <v>1</v>
      </c>
      <c r="C36">
        <v>0</v>
      </c>
      <c r="D36" s="1" t="s">
        <v>68</v>
      </c>
      <c r="E36" t="s">
        <v>142</v>
      </c>
      <c r="F36" t="s">
        <v>160</v>
      </c>
      <c r="G36" t="str">
        <f t="shared" si="0"/>
        <v>DSS_T0</v>
      </c>
    </row>
    <row r="37" spans="1:7" x14ac:dyDescent="0.2">
      <c r="A37" t="s">
        <v>111</v>
      </c>
      <c r="B37" s="2" t="s">
        <v>1</v>
      </c>
      <c r="C37">
        <v>0</v>
      </c>
      <c r="D37" s="1" t="s">
        <v>140</v>
      </c>
      <c r="E37" t="s">
        <v>142</v>
      </c>
      <c r="F37" t="s">
        <v>160</v>
      </c>
      <c r="G37" t="str">
        <f t="shared" si="0"/>
        <v>DSS_T0</v>
      </c>
    </row>
    <row r="38" spans="1:7" x14ac:dyDescent="0.2">
      <c r="A38" t="s">
        <v>112</v>
      </c>
      <c r="B38" s="2" t="s">
        <v>1</v>
      </c>
      <c r="C38">
        <v>0</v>
      </c>
      <c r="D38" s="1" t="s">
        <v>140</v>
      </c>
      <c r="E38" t="s">
        <v>142</v>
      </c>
      <c r="F38" t="s">
        <v>161</v>
      </c>
      <c r="G38" t="str">
        <f t="shared" si="0"/>
        <v>DSS_T1</v>
      </c>
    </row>
    <row r="39" spans="1:7" x14ac:dyDescent="0.2">
      <c r="A39" t="s">
        <v>113</v>
      </c>
      <c r="B39" s="2" t="s">
        <v>1</v>
      </c>
      <c r="C39">
        <v>0</v>
      </c>
      <c r="D39" s="1" t="s">
        <v>140</v>
      </c>
      <c r="E39" t="s">
        <v>142</v>
      </c>
      <c r="F39" t="s">
        <v>161</v>
      </c>
      <c r="G39" t="str">
        <f t="shared" si="0"/>
        <v>DSS_T1</v>
      </c>
    </row>
    <row r="40" spans="1:7" x14ac:dyDescent="0.2">
      <c r="A40" t="s">
        <v>114</v>
      </c>
      <c r="B40" s="2" t="s">
        <v>1</v>
      </c>
      <c r="C40">
        <v>0</v>
      </c>
      <c r="D40" s="3" t="s">
        <v>1</v>
      </c>
      <c r="E40" t="s">
        <v>143</v>
      </c>
      <c r="F40" t="s">
        <v>161</v>
      </c>
      <c r="G40" t="str">
        <f t="shared" si="0"/>
        <v>DSS_T1</v>
      </c>
    </row>
    <row r="41" spans="1:7" x14ac:dyDescent="0.2">
      <c r="A41" t="s">
        <v>115</v>
      </c>
      <c r="B41" s="2" t="s">
        <v>1</v>
      </c>
      <c r="C41">
        <v>0</v>
      </c>
      <c r="D41" s="1" t="s">
        <v>68</v>
      </c>
      <c r="E41" t="s">
        <v>142</v>
      </c>
      <c r="F41" t="s">
        <v>161</v>
      </c>
      <c r="G41" t="str">
        <f t="shared" si="0"/>
        <v>DSS_T1</v>
      </c>
    </row>
    <row r="42" spans="1:7" x14ac:dyDescent="0.2">
      <c r="A42" t="s">
        <v>116</v>
      </c>
      <c r="B42" s="2" t="s">
        <v>1</v>
      </c>
      <c r="C42">
        <v>0</v>
      </c>
      <c r="D42" s="1" t="s">
        <v>140</v>
      </c>
      <c r="E42" t="s">
        <v>142</v>
      </c>
      <c r="F42" t="s">
        <v>161</v>
      </c>
      <c r="G42" t="str">
        <f t="shared" si="0"/>
        <v>DSS_T1</v>
      </c>
    </row>
    <row r="43" spans="1:7" x14ac:dyDescent="0.2">
      <c r="A43" t="s">
        <v>117</v>
      </c>
      <c r="B43" s="2" t="s">
        <v>1</v>
      </c>
      <c r="C43">
        <v>0</v>
      </c>
      <c r="D43" s="1" t="s">
        <v>68</v>
      </c>
      <c r="E43" t="s">
        <v>142</v>
      </c>
      <c r="F43" t="s">
        <v>161</v>
      </c>
      <c r="G43" t="str">
        <f t="shared" si="0"/>
        <v>DSS_T1</v>
      </c>
    </row>
    <row r="44" spans="1:7" x14ac:dyDescent="0.2">
      <c r="A44" t="s">
        <v>118</v>
      </c>
      <c r="B44" s="2" t="s">
        <v>1</v>
      </c>
      <c r="C44">
        <v>0</v>
      </c>
      <c r="D44" s="1" t="s">
        <v>68</v>
      </c>
      <c r="E44" t="s">
        <v>142</v>
      </c>
      <c r="F44" t="s">
        <v>161</v>
      </c>
      <c r="G44" t="str">
        <f t="shared" si="0"/>
        <v>DSS_T1</v>
      </c>
    </row>
    <row r="45" spans="1:7" x14ac:dyDescent="0.2">
      <c r="A45" t="s">
        <v>23</v>
      </c>
      <c r="B45" s="2" t="s">
        <v>1</v>
      </c>
      <c r="C45">
        <v>1</v>
      </c>
      <c r="D45" s="2" t="s">
        <v>1</v>
      </c>
      <c r="E45" t="s">
        <v>158</v>
      </c>
      <c r="F45" t="s">
        <v>162</v>
      </c>
      <c r="G45" t="str">
        <f t="shared" si="0"/>
        <v>DSS_T3</v>
      </c>
    </row>
    <row r="46" spans="1:7" x14ac:dyDescent="0.2">
      <c r="A46" t="s">
        <v>120</v>
      </c>
      <c r="B46" s="2" t="s">
        <v>1</v>
      </c>
      <c r="C46">
        <v>0</v>
      </c>
      <c r="D46" s="1" t="s">
        <v>140</v>
      </c>
      <c r="E46" t="s">
        <v>142</v>
      </c>
      <c r="F46" t="s">
        <v>162</v>
      </c>
      <c r="G46" t="str">
        <f t="shared" si="0"/>
        <v>DSS_T3</v>
      </c>
    </row>
    <row r="47" spans="1:7" x14ac:dyDescent="0.2">
      <c r="A47" t="s">
        <v>121</v>
      </c>
      <c r="B47" s="2" t="s">
        <v>1</v>
      </c>
      <c r="C47">
        <v>0</v>
      </c>
      <c r="D47" s="3" t="s">
        <v>1</v>
      </c>
      <c r="E47" t="s">
        <v>143</v>
      </c>
      <c r="F47" t="s">
        <v>162</v>
      </c>
      <c r="G47" t="str">
        <f t="shared" si="0"/>
        <v>DSS_T3</v>
      </c>
    </row>
    <row r="48" spans="1:7" x14ac:dyDescent="0.2">
      <c r="A48" t="s">
        <v>24</v>
      </c>
      <c r="B48" s="2" t="s">
        <v>1</v>
      </c>
      <c r="C48">
        <v>1</v>
      </c>
      <c r="D48" s="2" t="s">
        <v>1</v>
      </c>
      <c r="E48" t="s">
        <v>158</v>
      </c>
      <c r="F48" t="s">
        <v>162</v>
      </c>
      <c r="G48" t="str">
        <f t="shared" si="0"/>
        <v>DSS_T3</v>
      </c>
    </row>
    <row r="49" spans="1:7" x14ac:dyDescent="0.2">
      <c r="A49" t="s">
        <v>122</v>
      </c>
      <c r="B49" s="2" t="s">
        <v>1</v>
      </c>
      <c r="C49">
        <v>0</v>
      </c>
      <c r="D49" s="3" t="s">
        <v>1</v>
      </c>
      <c r="E49" t="s">
        <v>143</v>
      </c>
      <c r="F49" t="s">
        <v>162</v>
      </c>
      <c r="G49" t="str">
        <f t="shared" si="0"/>
        <v>DSS_T3</v>
      </c>
    </row>
    <row r="50" spans="1:7" x14ac:dyDescent="0.2">
      <c r="A50" t="s">
        <v>123</v>
      </c>
      <c r="B50" s="2" t="s">
        <v>1</v>
      </c>
      <c r="C50">
        <v>0</v>
      </c>
      <c r="D50" s="3" t="s">
        <v>1</v>
      </c>
      <c r="E50" t="s">
        <v>143</v>
      </c>
      <c r="F50" t="s">
        <v>162</v>
      </c>
      <c r="G50" t="str">
        <f t="shared" si="0"/>
        <v>DSS_T3</v>
      </c>
    </row>
    <row r="51" spans="1:7" x14ac:dyDescent="0.2">
      <c r="A51" t="s">
        <v>124</v>
      </c>
      <c r="B51" s="2" t="s">
        <v>1</v>
      </c>
      <c r="C51">
        <v>0</v>
      </c>
      <c r="D51" s="1" t="s">
        <v>35</v>
      </c>
      <c r="E51" t="s">
        <v>142</v>
      </c>
      <c r="F51" t="s">
        <v>162</v>
      </c>
      <c r="G51" t="str">
        <f t="shared" si="0"/>
        <v>DSS_T3</v>
      </c>
    </row>
    <row r="52" spans="1:7" x14ac:dyDescent="0.2">
      <c r="A52" t="s">
        <v>32</v>
      </c>
      <c r="B52" s="2" t="s">
        <v>1</v>
      </c>
      <c r="C52">
        <v>1</v>
      </c>
      <c r="D52" s="2" t="s">
        <v>1</v>
      </c>
      <c r="E52" t="s">
        <v>158</v>
      </c>
      <c r="F52" t="s">
        <v>163</v>
      </c>
      <c r="G52" t="str">
        <f t="shared" si="0"/>
        <v>DSS_T5</v>
      </c>
    </row>
    <row r="53" spans="1:7" x14ac:dyDescent="0.2">
      <c r="A53" t="s">
        <v>125</v>
      </c>
      <c r="B53" s="2" t="s">
        <v>1</v>
      </c>
      <c r="C53">
        <v>0</v>
      </c>
      <c r="D53" s="3" t="s">
        <v>1</v>
      </c>
      <c r="E53" t="s">
        <v>143</v>
      </c>
      <c r="F53" t="s">
        <v>163</v>
      </c>
      <c r="G53" t="str">
        <f t="shared" si="0"/>
        <v>DSS_T5</v>
      </c>
    </row>
    <row r="54" spans="1:7" x14ac:dyDescent="0.2">
      <c r="A54" t="s">
        <v>126</v>
      </c>
      <c r="B54" s="2" t="s">
        <v>1</v>
      </c>
      <c r="C54">
        <v>0</v>
      </c>
      <c r="D54" s="3" t="s">
        <v>1</v>
      </c>
      <c r="E54" t="s">
        <v>143</v>
      </c>
      <c r="F54" t="s">
        <v>163</v>
      </c>
      <c r="G54" t="str">
        <f t="shared" si="0"/>
        <v>DSS_T5</v>
      </c>
    </row>
    <row r="55" spans="1:7" x14ac:dyDescent="0.2">
      <c r="A55" t="s">
        <v>33</v>
      </c>
      <c r="B55" s="2" t="s">
        <v>1</v>
      </c>
      <c r="C55">
        <v>1</v>
      </c>
      <c r="D55" s="2" t="s">
        <v>1</v>
      </c>
      <c r="E55" t="s">
        <v>158</v>
      </c>
      <c r="F55" t="s">
        <v>163</v>
      </c>
      <c r="G55" t="str">
        <f t="shared" si="0"/>
        <v>DSS_T5</v>
      </c>
    </row>
    <row r="56" spans="1:7" x14ac:dyDescent="0.2">
      <c r="A56" t="s">
        <v>127</v>
      </c>
      <c r="B56" s="2" t="s">
        <v>1</v>
      </c>
      <c r="C56">
        <v>0</v>
      </c>
      <c r="D56" s="1" t="s">
        <v>35</v>
      </c>
      <c r="E56" t="s">
        <v>142</v>
      </c>
      <c r="F56" t="s">
        <v>163</v>
      </c>
      <c r="G56" t="str">
        <f t="shared" si="0"/>
        <v>DSS_T5</v>
      </c>
    </row>
    <row r="57" spans="1:7" x14ac:dyDescent="0.2">
      <c r="A57" t="s">
        <v>128</v>
      </c>
      <c r="B57" s="2" t="s">
        <v>1</v>
      </c>
      <c r="C57">
        <v>0</v>
      </c>
      <c r="D57" s="1" t="s">
        <v>68</v>
      </c>
      <c r="E57" t="s">
        <v>142</v>
      </c>
      <c r="F57" t="s">
        <v>163</v>
      </c>
      <c r="G57" t="str">
        <f t="shared" si="0"/>
        <v>DSS_T5</v>
      </c>
    </row>
    <row r="58" spans="1:7" x14ac:dyDescent="0.2">
      <c r="A58" t="s">
        <v>129</v>
      </c>
      <c r="B58" s="2" t="s">
        <v>1</v>
      </c>
      <c r="C58">
        <v>0</v>
      </c>
      <c r="D58" s="3" t="s">
        <v>1</v>
      </c>
      <c r="E58" t="s">
        <v>143</v>
      </c>
      <c r="F58" t="s">
        <v>163</v>
      </c>
      <c r="G58" t="str">
        <f t="shared" si="0"/>
        <v>DSS_T5</v>
      </c>
    </row>
    <row r="59" spans="1:7" x14ac:dyDescent="0.2">
      <c r="A59" t="s">
        <v>147</v>
      </c>
      <c r="B59" s="2" t="s">
        <v>68</v>
      </c>
      <c r="C59">
        <v>1</v>
      </c>
      <c r="D59" s="2" t="s">
        <v>68</v>
      </c>
      <c r="E59" t="s">
        <v>158</v>
      </c>
      <c r="F59">
        <v>2.5</v>
      </c>
      <c r="G59" t="str">
        <f t="shared" si="0"/>
        <v>LPS_2.5</v>
      </c>
    </row>
    <row r="60" spans="1:7" x14ac:dyDescent="0.2">
      <c r="A60" t="s">
        <v>148</v>
      </c>
      <c r="B60" s="2" t="s">
        <v>68</v>
      </c>
      <c r="C60">
        <v>1</v>
      </c>
      <c r="D60" s="2" t="s">
        <v>68</v>
      </c>
      <c r="E60" t="s">
        <v>158</v>
      </c>
      <c r="F60">
        <v>2.5</v>
      </c>
      <c r="G60" t="str">
        <f t="shared" si="0"/>
        <v>LPS_2.5</v>
      </c>
    </row>
    <row r="61" spans="1:7" x14ac:dyDescent="0.2">
      <c r="A61" t="s">
        <v>88</v>
      </c>
      <c r="B61" s="2" t="s">
        <v>68</v>
      </c>
      <c r="C61">
        <v>0</v>
      </c>
      <c r="D61" s="1" t="s">
        <v>1</v>
      </c>
      <c r="E61" t="s">
        <v>142</v>
      </c>
      <c r="F61">
        <v>2.5</v>
      </c>
      <c r="G61" t="str">
        <f t="shared" si="0"/>
        <v>LPS_2.5</v>
      </c>
    </row>
    <row r="62" spans="1:7" x14ac:dyDescent="0.2">
      <c r="A62" t="s">
        <v>149</v>
      </c>
      <c r="B62" s="2" t="s">
        <v>68</v>
      </c>
      <c r="C62">
        <v>1</v>
      </c>
      <c r="D62" s="2" t="s">
        <v>68</v>
      </c>
      <c r="E62" t="s">
        <v>158</v>
      </c>
      <c r="F62">
        <v>2.5</v>
      </c>
      <c r="G62" t="str">
        <f t="shared" si="0"/>
        <v>LPS_2.5</v>
      </c>
    </row>
    <row r="63" spans="1:7" x14ac:dyDescent="0.2">
      <c r="A63" t="s">
        <v>150</v>
      </c>
      <c r="B63" s="2" t="s">
        <v>68</v>
      </c>
      <c r="C63">
        <v>1</v>
      </c>
      <c r="D63" s="2" t="s">
        <v>68</v>
      </c>
      <c r="E63" t="s">
        <v>158</v>
      </c>
      <c r="F63">
        <v>2.5</v>
      </c>
      <c r="G63" t="str">
        <f t="shared" si="0"/>
        <v>LPS_2.5</v>
      </c>
    </row>
    <row r="64" spans="1:7" x14ac:dyDescent="0.2">
      <c r="A64" t="s">
        <v>89</v>
      </c>
      <c r="B64" s="2" t="s">
        <v>68</v>
      </c>
      <c r="C64">
        <v>0</v>
      </c>
      <c r="D64" s="1" t="s">
        <v>1</v>
      </c>
      <c r="E64" t="s">
        <v>142</v>
      </c>
      <c r="F64">
        <v>2.5</v>
      </c>
      <c r="G64" t="str">
        <f t="shared" si="0"/>
        <v>LPS_2.5</v>
      </c>
    </row>
    <row r="65" spans="1:7" x14ac:dyDescent="0.2">
      <c r="A65" t="s">
        <v>151</v>
      </c>
      <c r="B65" s="2" t="s">
        <v>68</v>
      </c>
      <c r="C65">
        <v>1</v>
      </c>
      <c r="D65" s="2" t="s">
        <v>68</v>
      </c>
      <c r="E65" t="s">
        <v>158</v>
      </c>
      <c r="F65">
        <v>2.5</v>
      </c>
      <c r="G65" t="str">
        <f t="shared" si="0"/>
        <v>LPS_2.5</v>
      </c>
    </row>
    <row r="66" spans="1:7" x14ac:dyDescent="0.2">
      <c r="A66" t="s">
        <v>90</v>
      </c>
      <c r="B66" s="2" t="s">
        <v>68</v>
      </c>
      <c r="C66">
        <v>0</v>
      </c>
      <c r="D66" s="3" t="s">
        <v>68</v>
      </c>
      <c r="E66" t="s">
        <v>143</v>
      </c>
      <c r="F66">
        <v>2.5</v>
      </c>
      <c r="G66" t="str">
        <f t="shared" si="0"/>
        <v>LPS_2.5</v>
      </c>
    </row>
    <row r="67" spans="1:7" x14ac:dyDescent="0.2">
      <c r="A67" t="s">
        <v>152</v>
      </c>
      <c r="B67" s="2" t="s">
        <v>68</v>
      </c>
      <c r="C67">
        <v>1</v>
      </c>
      <c r="D67" s="2" t="s">
        <v>68</v>
      </c>
      <c r="E67" t="s">
        <v>158</v>
      </c>
      <c r="F67">
        <v>24</v>
      </c>
      <c r="G67" t="str">
        <f t="shared" ref="G67:G124" si="1">CONCATENATE(B67,"_",F67)</f>
        <v>LPS_24</v>
      </c>
    </row>
    <row r="68" spans="1:7" x14ac:dyDescent="0.2">
      <c r="A68" t="s">
        <v>153</v>
      </c>
      <c r="B68" s="2" t="s">
        <v>68</v>
      </c>
      <c r="C68">
        <v>1</v>
      </c>
      <c r="D68" s="2" t="s">
        <v>68</v>
      </c>
      <c r="E68" t="s">
        <v>158</v>
      </c>
      <c r="F68">
        <v>24</v>
      </c>
      <c r="G68" t="str">
        <f t="shared" si="1"/>
        <v>LPS_24</v>
      </c>
    </row>
    <row r="69" spans="1:7" x14ac:dyDescent="0.2">
      <c r="A69" t="s">
        <v>154</v>
      </c>
      <c r="B69" s="2" t="s">
        <v>68</v>
      </c>
      <c r="C69">
        <v>1</v>
      </c>
      <c r="D69" s="2" t="s">
        <v>68</v>
      </c>
      <c r="E69" t="s">
        <v>158</v>
      </c>
      <c r="F69">
        <v>24</v>
      </c>
      <c r="G69" t="str">
        <f t="shared" si="1"/>
        <v>LPS_24</v>
      </c>
    </row>
    <row r="70" spans="1:7" x14ac:dyDescent="0.2">
      <c r="A70" t="s">
        <v>91</v>
      </c>
      <c r="B70" s="2" t="s">
        <v>68</v>
      </c>
      <c r="C70">
        <v>0</v>
      </c>
      <c r="D70" s="1" t="s">
        <v>1</v>
      </c>
      <c r="E70" t="s">
        <v>142</v>
      </c>
      <c r="F70">
        <v>24</v>
      </c>
      <c r="G70" t="str">
        <f t="shared" si="1"/>
        <v>LPS_24</v>
      </c>
    </row>
    <row r="71" spans="1:7" x14ac:dyDescent="0.2">
      <c r="A71" t="s">
        <v>155</v>
      </c>
      <c r="B71" s="2" t="s">
        <v>68</v>
      </c>
      <c r="C71">
        <v>1</v>
      </c>
      <c r="D71" s="2" t="s">
        <v>68</v>
      </c>
      <c r="E71" t="s">
        <v>158</v>
      </c>
      <c r="F71">
        <v>24</v>
      </c>
      <c r="G71" t="str">
        <f t="shared" si="1"/>
        <v>LPS_24</v>
      </c>
    </row>
    <row r="72" spans="1:7" x14ac:dyDescent="0.2">
      <c r="A72" t="s">
        <v>92</v>
      </c>
      <c r="B72" s="2" t="s">
        <v>68</v>
      </c>
      <c r="C72">
        <v>0</v>
      </c>
      <c r="D72" s="1" t="s">
        <v>1</v>
      </c>
      <c r="E72" t="s">
        <v>142</v>
      </c>
      <c r="F72">
        <v>24</v>
      </c>
      <c r="G72" t="str">
        <f t="shared" si="1"/>
        <v>LPS_24</v>
      </c>
    </row>
    <row r="73" spans="1:7" x14ac:dyDescent="0.2">
      <c r="A73" t="s">
        <v>93</v>
      </c>
      <c r="B73" s="2" t="s">
        <v>68</v>
      </c>
      <c r="C73">
        <v>0</v>
      </c>
      <c r="D73" s="1" t="s">
        <v>1</v>
      </c>
      <c r="E73" t="s">
        <v>142</v>
      </c>
      <c r="F73">
        <v>24</v>
      </c>
      <c r="G73" t="str">
        <f t="shared" si="1"/>
        <v>LPS_24</v>
      </c>
    </row>
    <row r="74" spans="1:7" x14ac:dyDescent="0.2">
      <c r="A74" t="s">
        <v>94</v>
      </c>
      <c r="B74" s="2" t="s">
        <v>68</v>
      </c>
      <c r="C74">
        <v>0</v>
      </c>
      <c r="D74" s="1" t="s">
        <v>1</v>
      </c>
      <c r="E74" t="s">
        <v>142</v>
      </c>
      <c r="F74">
        <v>24</v>
      </c>
      <c r="G74" t="str">
        <f t="shared" si="1"/>
        <v>LPS_24</v>
      </c>
    </row>
    <row r="75" spans="1:7" x14ac:dyDescent="0.2">
      <c r="A75" t="s">
        <v>95</v>
      </c>
      <c r="B75" s="2" t="s">
        <v>68</v>
      </c>
      <c r="C75">
        <v>0</v>
      </c>
      <c r="D75" s="1" t="s">
        <v>1</v>
      </c>
      <c r="E75" t="s">
        <v>142</v>
      </c>
      <c r="F75">
        <v>24</v>
      </c>
      <c r="G75" t="str">
        <f t="shared" si="1"/>
        <v>LPS_24</v>
      </c>
    </row>
    <row r="76" spans="1:7" x14ac:dyDescent="0.2">
      <c r="A76" t="s">
        <v>81</v>
      </c>
      <c r="B76" s="2" t="s">
        <v>68</v>
      </c>
      <c r="C76">
        <v>0</v>
      </c>
      <c r="D76" s="1" t="s">
        <v>1</v>
      </c>
      <c r="E76" t="s">
        <v>142</v>
      </c>
      <c r="F76" t="s">
        <v>166</v>
      </c>
      <c r="G76" t="str">
        <f t="shared" si="1"/>
        <v>LPS_LPS_CTRL</v>
      </c>
    </row>
    <row r="77" spans="1:7" x14ac:dyDescent="0.2">
      <c r="A77" t="s">
        <v>156</v>
      </c>
      <c r="B77" s="2" t="s">
        <v>68</v>
      </c>
      <c r="C77">
        <v>1</v>
      </c>
      <c r="D77" s="2" t="s">
        <v>68</v>
      </c>
      <c r="E77" t="s">
        <v>158</v>
      </c>
      <c r="F77" t="s">
        <v>166</v>
      </c>
      <c r="G77" t="str">
        <f t="shared" si="1"/>
        <v>LPS_LPS_CTRL</v>
      </c>
    </row>
    <row r="78" spans="1:7" x14ac:dyDescent="0.2">
      <c r="A78" t="s">
        <v>82</v>
      </c>
      <c r="B78" s="2" t="s">
        <v>68</v>
      </c>
      <c r="C78">
        <v>0</v>
      </c>
      <c r="D78" s="1" t="s">
        <v>1</v>
      </c>
      <c r="E78" t="s">
        <v>142</v>
      </c>
      <c r="F78" t="s">
        <v>166</v>
      </c>
      <c r="G78" t="str">
        <f t="shared" si="1"/>
        <v>LPS_LPS_CTRL</v>
      </c>
    </row>
    <row r="79" spans="1:7" x14ac:dyDescent="0.2">
      <c r="A79" t="s">
        <v>83</v>
      </c>
      <c r="B79" s="2" t="s">
        <v>68</v>
      </c>
      <c r="C79">
        <v>0</v>
      </c>
      <c r="D79" s="3" t="s">
        <v>68</v>
      </c>
      <c r="E79" t="s">
        <v>143</v>
      </c>
      <c r="F79" t="s">
        <v>166</v>
      </c>
      <c r="G79" t="str">
        <f t="shared" si="1"/>
        <v>LPS_LPS_CTRL</v>
      </c>
    </row>
    <row r="80" spans="1:7" x14ac:dyDescent="0.2">
      <c r="A80" t="s">
        <v>84</v>
      </c>
      <c r="B80" s="2" t="s">
        <v>68</v>
      </c>
      <c r="C80">
        <v>0</v>
      </c>
      <c r="D80" s="1" t="s">
        <v>1</v>
      </c>
      <c r="E80" t="s">
        <v>142</v>
      </c>
      <c r="F80" t="s">
        <v>166</v>
      </c>
      <c r="G80" t="str">
        <f t="shared" si="1"/>
        <v>LPS_LPS_CTRL</v>
      </c>
    </row>
    <row r="81" spans="1:7" x14ac:dyDescent="0.2">
      <c r="A81" t="s">
        <v>85</v>
      </c>
      <c r="B81" s="2" t="s">
        <v>68</v>
      </c>
      <c r="C81">
        <v>0</v>
      </c>
      <c r="D81" s="1" t="s">
        <v>35</v>
      </c>
      <c r="E81" t="s">
        <v>142</v>
      </c>
      <c r="F81" t="s">
        <v>166</v>
      </c>
      <c r="G81" t="str">
        <f t="shared" si="1"/>
        <v>LPS_LPS_CTRL</v>
      </c>
    </row>
    <row r="82" spans="1:7" x14ac:dyDescent="0.2">
      <c r="A82" t="s">
        <v>86</v>
      </c>
      <c r="B82" s="2" t="s">
        <v>68</v>
      </c>
      <c r="C82">
        <v>0</v>
      </c>
      <c r="D82" s="1" t="s">
        <v>35</v>
      </c>
      <c r="E82" t="s">
        <v>142</v>
      </c>
      <c r="F82" t="s">
        <v>166</v>
      </c>
      <c r="G82" t="str">
        <f t="shared" si="1"/>
        <v>LPS_LPS_CTRL</v>
      </c>
    </row>
    <row r="83" spans="1:7" x14ac:dyDescent="0.2">
      <c r="A83" t="s">
        <v>157</v>
      </c>
      <c r="B83" s="2" t="s">
        <v>68</v>
      </c>
      <c r="C83">
        <v>1</v>
      </c>
      <c r="D83" s="2" t="s">
        <v>68</v>
      </c>
      <c r="E83" t="s">
        <v>158</v>
      </c>
      <c r="F83" t="s">
        <v>166</v>
      </c>
      <c r="G83" t="str">
        <f t="shared" si="1"/>
        <v>LPS_LPS_CTRL</v>
      </c>
    </row>
    <row r="84" spans="1:7" x14ac:dyDescent="0.2">
      <c r="A84" t="s">
        <v>96</v>
      </c>
      <c r="B84" s="2" t="s">
        <v>68</v>
      </c>
      <c r="C84">
        <v>0</v>
      </c>
      <c r="D84" s="1" t="s">
        <v>35</v>
      </c>
      <c r="E84" t="s">
        <v>142</v>
      </c>
      <c r="F84">
        <v>24</v>
      </c>
      <c r="G84" t="str">
        <f t="shared" si="1"/>
        <v>LPS_24</v>
      </c>
    </row>
    <row r="85" spans="1:7" x14ac:dyDescent="0.2">
      <c r="A85" t="s">
        <v>87</v>
      </c>
      <c r="B85" s="2" t="s">
        <v>68</v>
      </c>
      <c r="C85">
        <v>0</v>
      </c>
      <c r="D85" s="1" t="s">
        <v>1</v>
      </c>
      <c r="E85" t="s">
        <v>142</v>
      </c>
      <c r="F85" t="s">
        <v>166</v>
      </c>
      <c r="G85" t="str">
        <f t="shared" si="1"/>
        <v>LPS_LPS_CTRL</v>
      </c>
    </row>
    <row r="86" spans="1:7" x14ac:dyDescent="0.2">
      <c r="A86" t="s">
        <v>52</v>
      </c>
      <c r="B86" s="2" t="s">
        <v>35</v>
      </c>
      <c r="C86">
        <v>1</v>
      </c>
      <c r="D86" s="2" t="s">
        <v>35</v>
      </c>
      <c r="E86" t="s">
        <v>158</v>
      </c>
      <c r="F86" t="s">
        <v>164</v>
      </c>
      <c r="G86" t="str">
        <f t="shared" si="1"/>
        <v>VECPAC_CRE+</v>
      </c>
    </row>
    <row r="87" spans="1:7" x14ac:dyDescent="0.2">
      <c r="A87" t="s">
        <v>53</v>
      </c>
      <c r="B87" s="2" t="s">
        <v>35</v>
      </c>
      <c r="C87">
        <v>1</v>
      </c>
      <c r="D87" s="2" t="s">
        <v>35</v>
      </c>
      <c r="E87" t="s">
        <v>158</v>
      </c>
      <c r="F87" t="s">
        <v>164</v>
      </c>
      <c r="G87" t="str">
        <f t="shared" si="1"/>
        <v>VECPAC_CRE+</v>
      </c>
    </row>
    <row r="88" spans="1:7" x14ac:dyDescent="0.2">
      <c r="A88" t="s">
        <v>54</v>
      </c>
      <c r="B88" s="2" t="s">
        <v>35</v>
      </c>
      <c r="C88">
        <v>1</v>
      </c>
      <c r="D88" s="2" t="s">
        <v>35</v>
      </c>
      <c r="E88" t="s">
        <v>158</v>
      </c>
      <c r="F88" t="s">
        <v>164</v>
      </c>
      <c r="G88" t="str">
        <f t="shared" si="1"/>
        <v>VECPAC_CRE+</v>
      </c>
    </row>
    <row r="89" spans="1:7" x14ac:dyDescent="0.2">
      <c r="A89" t="s">
        <v>72</v>
      </c>
      <c r="B89" s="2" t="s">
        <v>35</v>
      </c>
      <c r="C89">
        <v>0</v>
      </c>
      <c r="D89" s="1" t="s">
        <v>1</v>
      </c>
      <c r="E89" t="s">
        <v>142</v>
      </c>
      <c r="F89" t="s">
        <v>164</v>
      </c>
      <c r="G89" t="str">
        <f t="shared" si="1"/>
        <v>VECPAC_CRE+</v>
      </c>
    </row>
    <row r="90" spans="1:7" x14ac:dyDescent="0.2">
      <c r="A90" t="s">
        <v>55</v>
      </c>
      <c r="B90" s="2" t="s">
        <v>35</v>
      </c>
      <c r="C90">
        <v>1</v>
      </c>
      <c r="D90" s="2" t="s">
        <v>35</v>
      </c>
      <c r="E90" t="s">
        <v>158</v>
      </c>
      <c r="F90" t="s">
        <v>164</v>
      </c>
      <c r="G90" t="str">
        <f t="shared" si="1"/>
        <v>VECPAC_CRE+</v>
      </c>
    </row>
    <row r="91" spans="1:7" x14ac:dyDescent="0.2">
      <c r="A91" t="s">
        <v>73</v>
      </c>
      <c r="B91" s="2" t="s">
        <v>35</v>
      </c>
      <c r="C91">
        <v>0</v>
      </c>
      <c r="D91" s="3" t="s">
        <v>35</v>
      </c>
      <c r="E91" t="s">
        <v>143</v>
      </c>
      <c r="F91" t="s">
        <v>164</v>
      </c>
      <c r="G91" t="str">
        <f t="shared" si="1"/>
        <v>VECPAC_CRE+</v>
      </c>
    </row>
    <row r="92" spans="1:7" x14ac:dyDescent="0.2">
      <c r="A92" t="s">
        <v>56</v>
      </c>
      <c r="B92" s="2" t="s">
        <v>35</v>
      </c>
      <c r="C92">
        <v>1</v>
      </c>
      <c r="D92" s="2" t="s">
        <v>35</v>
      </c>
      <c r="E92" t="s">
        <v>158</v>
      </c>
      <c r="F92" t="s">
        <v>164</v>
      </c>
      <c r="G92" t="str">
        <f t="shared" si="1"/>
        <v>VECPAC_CRE+</v>
      </c>
    </row>
    <row r="93" spans="1:7" x14ac:dyDescent="0.2">
      <c r="A93" t="s">
        <v>57</v>
      </c>
      <c r="B93" s="2" t="s">
        <v>35</v>
      </c>
      <c r="C93">
        <v>1</v>
      </c>
      <c r="D93" s="2" t="s">
        <v>35</v>
      </c>
      <c r="E93" t="s">
        <v>158</v>
      </c>
      <c r="F93" t="s">
        <v>164</v>
      </c>
      <c r="G93" t="str">
        <f t="shared" si="1"/>
        <v>VECPAC_CRE+</v>
      </c>
    </row>
    <row r="94" spans="1:7" x14ac:dyDescent="0.2">
      <c r="A94" t="s">
        <v>74</v>
      </c>
      <c r="B94" s="2" t="s">
        <v>35</v>
      </c>
      <c r="C94">
        <v>0</v>
      </c>
      <c r="D94" s="1" t="s">
        <v>68</v>
      </c>
      <c r="E94" t="s">
        <v>142</v>
      </c>
      <c r="F94" t="s">
        <v>164</v>
      </c>
      <c r="G94" t="str">
        <f t="shared" si="1"/>
        <v>VECPAC_CRE+</v>
      </c>
    </row>
    <row r="95" spans="1:7" x14ac:dyDescent="0.2">
      <c r="A95" t="s">
        <v>58</v>
      </c>
      <c r="B95" s="2" t="s">
        <v>35</v>
      </c>
      <c r="C95">
        <v>1</v>
      </c>
      <c r="D95" s="2" t="s">
        <v>35</v>
      </c>
      <c r="E95" t="s">
        <v>158</v>
      </c>
      <c r="F95" t="s">
        <v>164</v>
      </c>
      <c r="G95" t="str">
        <f t="shared" si="1"/>
        <v>VECPAC_CRE+</v>
      </c>
    </row>
    <row r="96" spans="1:7" x14ac:dyDescent="0.2">
      <c r="A96" t="s">
        <v>75</v>
      </c>
      <c r="B96" s="2" t="s">
        <v>35</v>
      </c>
      <c r="C96">
        <v>0</v>
      </c>
      <c r="D96" s="3" t="s">
        <v>35</v>
      </c>
      <c r="E96" t="s">
        <v>143</v>
      </c>
      <c r="F96" t="s">
        <v>164</v>
      </c>
      <c r="G96" t="str">
        <f t="shared" si="1"/>
        <v>VECPAC_CRE+</v>
      </c>
    </row>
    <row r="97" spans="1:7" x14ac:dyDescent="0.2">
      <c r="A97" t="s">
        <v>59</v>
      </c>
      <c r="B97" s="2" t="s">
        <v>35</v>
      </c>
      <c r="C97">
        <v>1</v>
      </c>
      <c r="D97" s="2" t="s">
        <v>35</v>
      </c>
      <c r="E97" t="s">
        <v>158</v>
      </c>
      <c r="F97" t="s">
        <v>164</v>
      </c>
      <c r="G97" t="str">
        <f t="shared" si="1"/>
        <v>VECPAC_CRE+</v>
      </c>
    </row>
    <row r="98" spans="1:7" x14ac:dyDescent="0.2">
      <c r="A98" t="s">
        <v>76</v>
      </c>
      <c r="B98" s="2" t="s">
        <v>35</v>
      </c>
      <c r="C98">
        <v>0</v>
      </c>
      <c r="D98" s="1" t="s">
        <v>68</v>
      </c>
      <c r="E98" t="s">
        <v>142</v>
      </c>
      <c r="F98" t="s">
        <v>164</v>
      </c>
      <c r="G98" t="str">
        <f t="shared" si="1"/>
        <v>VECPAC_CRE+</v>
      </c>
    </row>
    <row r="99" spans="1:7" x14ac:dyDescent="0.2">
      <c r="A99" t="s">
        <v>77</v>
      </c>
      <c r="B99" s="2" t="s">
        <v>35</v>
      </c>
      <c r="C99">
        <v>0</v>
      </c>
      <c r="D99" s="1" t="s">
        <v>1</v>
      </c>
      <c r="E99" t="s">
        <v>142</v>
      </c>
      <c r="F99" t="s">
        <v>164</v>
      </c>
      <c r="G99" t="str">
        <f t="shared" si="1"/>
        <v>VECPAC_CRE+</v>
      </c>
    </row>
    <row r="100" spans="1:7" x14ac:dyDescent="0.2">
      <c r="A100" t="s">
        <v>78</v>
      </c>
      <c r="B100" s="2" t="s">
        <v>35</v>
      </c>
      <c r="C100">
        <v>0</v>
      </c>
      <c r="D100" s="1" t="s">
        <v>1</v>
      </c>
      <c r="E100" t="s">
        <v>142</v>
      </c>
      <c r="F100" t="s">
        <v>164</v>
      </c>
      <c r="G100" t="str">
        <f t="shared" si="1"/>
        <v>VECPAC_CRE+</v>
      </c>
    </row>
    <row r="101" spans="1:7" x14ac:dyDescent="0.2">
      <c r="A101" t="s">
        <v>79</v>
      </c>
      <c r="B101" s="2" t="s">
        <v>35</v>
      </c>
      <c r="C101">
        <v>0</v>
      </c>
      <c r="D101" s="1" t="s">
        <v>68</v>
      </c>
      <c r="E101" t="s">
        <v>142</v>
      </c>
      <c r="F101" t="s">
        <v>164</v>
      </c>
      <c r="G101" t="str">
        <f t="shared" si="1"/>
        <v>VECPAC_CRE+</v>
      </c>
    </row>
    <row r="102" spans="1:7" x14ac:dyDescent="0.2">
      <c r="A102" t="s">
        <v>60</v>
      </c>
      <c r="B102" s="2" t="s">
        <v>35</v>
      </c>
      <c r="C102">
        <v>1</v>
      </c>
      <c r="D102" s="2" t="s">
        <v>35</v>
      </c>
      <c r="E102" t="s">
        <v>158</v>
      </c>
      <c r="F102" t="s">
        <v>164</v>
      </c>
      <c r="G102" t="str">
        <f t="shared" si="1"/>
        <v>VECPAC_CRE+</v>
      </c>
    </row>
    <row r="103" spans="1:7" x14ac:dyDescent="0.2">
      <c r="A103" t="s">
        <v>80</v>
      </c>
      <c r="B103" s="2" t="s">
        <v>35</v>
      </c>
      <c r="C103">
        <v>0</v>
      </c>
      <c r="D103" s="1" t="s">
        <v>1</v>
      </c>
      <c r="E103" t="s">
        <v>142</v>
      </c>
      <c r="F103" t="s">
        <v>164</v>
      </c>
      <c r="G103" t="str">
        <f t="shared" si="1"/>
        <v>VECPAC_CRE+</v>
      </c>
    </row>
    <row r="104" spans="1:7" x14ac:dyDescent="0.2">
      <c r="A104" t="s">
        <v>34</v>
      </c>
      <c r="B104" s="2" t="s">
        <v>35</v>
      </c>
      <c r="C104">
        <v>1</v>
      </c>
      <c r="D104" s="2" t="s">
        <v>35</v>
      </c>
      <c r="E104" t="s">
        <v>158</v>
      </c>
      <c r="F104" t="s">
        <v>165</v>
      </c>
      <c r="G104" t="str">
        <f t="shared" si="1"/>
        <v>VECPAC_VECPAC_CTRL</v>
      </c>
    </row>
    <row r="105" spans="1:7" x14ac:dyDescent="0.2">
      <c r="A105" t="s">
        <v>37</v>
      </c>
      <c r="B105" s="2" t="s">
        <v>35</v>
      </c>
      <c r="C105">
        <v>1</v>
      </c>
      <c r="D105" s="2" t="s">
        <v>35</v>
      </c>
      <c r="E105" t="s">
        <v>158</v>
      </c>
      <c r="F105" t="s">
        <v>165</v>
      </c>
      <c r="G105" t="str">
        <f t="shared" si="1"/>
        <v>VECPAC_VECPAC_CTRL</v>
      </c>
    </row>
    <row r="106" spans="1:7" x14ac:dyDescent="0.2">
      <c r="A106" t="s">
        <v>38</v>
      </c>
      <c r="B106" s="2" t="s">
        <v>35</v>
      </c>
      <c r="C106">
        <v>1</v>
      </c>
      <c r="D106" s="2" t="s">
        <v>35</v>
      </c>
      <c r="E106" t="s">
        <v>158</v>
      </c>
      <c r="F106" t="s">
        <v>165</v>
      </c>
      <c r="G106" t="str">
        <f t="shared" si="1"/>
        <v>VECPAC_VECPAC_CTRL</v>
      </c>
    </row>
    <row r="107" spans="1:7" x14ac:dyDescent="0.2">
      <c r="A107" t="s">
        <v>39</v>
      </c>
      <c r="B107" s="2" t="s">
        <v>35</v>
      </c>
      <c r="C107">
        <v>1</v>
      </c>
      <c r="D107" s="2" t="s">
        <v>35</v>
      </c>
      <c r="E107" t="s">
        <v>158</v>
      </c>
      <c r="F107" t="s">
        <v>165</v>
      </c>
      <c r="G107" t="str">
        <f t="shared" si="1"/>
        <v>VECPAC_VECPAC_CTRL</v>
      </c>
    </row>
    <row r="108" spans="1:7" x14ac:dyDescent="0.2">
      <c r="A108" t="s">
        <v>40</v>
      </c>
      <c r="B108" s="2" t="s">
        <v>35</v>
      </c>
      <c r="C108">
        <v>1</v>
      </c>
      <c r="D108" s="2" t="s">
        <v>35</v>
      </c>
      <c r="E108" t="s">
        <v>158</v>
      </c>
      <c r="F108" t="s">
        <v>165</v>
      </c>
      <c r="G108" t="str">
        <f t="shared" si="1"/>
        <v>VECPAC_VECPAC_CTRL</v>
      </c>
    </row>
    <row r="109" spans="1:7" x14ac:dyDescent="0.2">
      <c r="A109" t="s">
        <v>67</v>
      </c>
      <c r="B109" s="2" t="s">
        <v>35</v>
      </c>
      <c r="C109">
        <v>0</v>
      </c>
      <c r="D109" s="1" t="s">
        <v>1</v>
      </c>
      <c r="E109" t="s">
        <v>142</v>
      </c>
      <c r="F109" t="s">
        <v>165</v>
      </c>
      <c r="G109" t="str">
        <f t="shared" si="1"/>
        <v>VECPAC_VECPAC_CTRL</v>
      </c>
    </row>
    <row r="110" spans="1:7" x14ac:dyDescent="0.2">
      <c r="A110" t="s">
        <v>69</v>
      </c>
      <c r="B110" s="2" t="s">
        <v>35</v>
      </c>
      <c r="C110">
        <v>0</v>
      </c>
      <c r="D110" s="1" t="s">
        <v>68</v>
      </c>
      <c r="E110" t="s">
        <v>142</v>
      </c>
      <c r="F110" t="s">
        <v>165</v>
      </c>
      <c r="G110" t="str">
        <f t="shared" si="1"/>
        <v>VECPAC_VECPAC_CTRL</v>
      </c>
    </row>
    <row r="111" spans="1:7" x14ac:dyDescent="0.2">
      <c r="A111" t="s">
        <v>41</v>
      </c>
      <c r="B111" s="2" t="s">
        <v>35</v>
      </c>
      <c r="C111">
        <v>1</v>
      </c>
      <c r="D111" s="2" t="s">
        <v>35</v>
      </c>
      <c r="E111" t="s">
        <v>158</v>
      </c>
      <c r="F111" t="s">
        <v>165</v>
      </c>
      <c r="G111" t="str">
        <f t="shared" si="1"/>
        <v>VECPAC_VECPAC_CTRL</v>
      </c>
    </row>
    <row r="112" spans="1:7" x14ac:dyDescent="0.2">
      <c r="A112" t="s">
        <v>42</v>
      </c>
      <c r="B112" s="2" t="s">
        <v>35</v>
      </c>
      <c r="C112">
        <v>1</v>
      </c>
      <c r="D112" s="2" t="s">
        <v>35</v>
      </c>
      <c r="E112" t="s">
        <v>158</v>
      </c>
      <c r="F112" t="s">
        <v>165</v>
      </c>
      <c r="G112" t="str">
        <f t="shared" si="1"/>
        <v>VECPAC_VECPAC_CTRL</v>
      </c>
    </row>
    <row r="113" spans="1:7" x14ac:dyDescent="0.2">
      <c r="A113" t="s">
        <v>70</v>
      </c>
      <c r="B113" s="2" t="s">
        <v>35</v>
      </c>
      <c r="C113">
        <v>0</v>
      </c>
      <c r="D113" s="3" t="s">
        <v>35</v>
      </c>
      <c r="E113" t="s">
        <v>143</v>
      </c>
      <c r="F113" t="s">
        <v>165</v>
      </c>
      <c r="G113" t="str">
        <f t="shared" si="1"/>
        <v>VECPAC_VECPAC_CTRL</v>
      </c>
    </row>
    <row r="114" spans="1:7" x14ac:dyDescent="0.2">
      <c r="A114" t="s">
        <v>36</v>
      </c>
      <c r="B114" s="2" t="s">
        <v>35</v>
      </c>
      <c r="C114">
        <v>1</v>
      </c>
      <c r="D114" s="2" t="s">
        <v>35</v>
      </c>
      <c r="E114" t="s">
        <v>158</v>
      </c>
      <c r="F114" t="s">
        <v>165</v>
      </c>
      <c r="G114" t="str">
        <f t="shared" si="1"/>
        <v>VECPAC_VECPAC_CTRL</v>
      </c>
    </row>
    <row r="115" spans="1:7" x14ac:dyDescent="0.2">
      <c r="A115" t="s">
        <v>43</v>
      </c>
      <c r="B115" s="2" t="s">
        <v>35</v>
      </c>
      <c r="C115">
        <v>1</v>
      </c>
      <c r="D115" s="2" t="s">
        <v>35</v>
      </c>
      <c r="E115" t="s">
        <v>158</v>
      </c>
      <c r="F115" t="s">
        <v>165</v>
      </c>
      <c r="G115" t="str">
        <f t="shared" si="1"/>
        <v>VECPAC_VECPAC_CTRL</v>
      </c>
    </row>
    <row r="116" spans="1:7" x14ac:dyDescent="0.2">
      <c r="A116" t="s">
        <v>44</v>
      </c>
      <c r="B116" s="2" t="s">
        <v>35</v>
      </c>
      <c r="C116">
        <v>1</v>
      </c>
      <c r="D116" s="2" t="s">
        <v>35</v>
      </c>
      <c r="E116" t="s">
        <v>158</v>
      </c>
      <c r="F116" t="s">
        <v>165</v>
      </c>
      <c r="G116" t="str">
        <f t="shared" si="1"/>
        <v>VECPAC_VECPAC_CTRL</v>
      </c>
    </row>
    <row r="117" spans="1:7" x14ac:dyDescent="0.2">
      <c r="A117" t="s">
        <v>45</v>
      </c>
      <c r="B117" s="2" t="s">
        <v>35</v>
      </c>
      <c r="C117">
        <v>1</v>
      </c>
      <c r="D117" s="2" t="s">
        <v>35</v>
      </c>
      <c r="E117" t="s">
        <v>158</v>
      </c>
      <c r="F117" t="s">
        <v>165</v>
      </c>
      <c r="G117" t="str">
        <f t="shared" si="1"/>
        <v>VECPAC_VECPAC_CTRL</v>
      </c>
    </row>
    <row r="118" spans="1:7" x14ac:dyDescent="0.2">
      <c r="A118" t="s">
        <v>46</v>
      </c>
      <c r="B118" s="2" t="s">
        <v>35</v>
      </c>
      <c r="C118">
        <v>1</v>
      </c>
      <c r="D118" s="2" t="s">
        <v>35</v>
      </c>
      <c r="E118" t="s">
        <v>158</v>
      </c>
      <c r="F118" t="s">
        <v>165</v>
      </c>
      <c r="G118" t="str">
        <f t="shared" si="1"/>
        <v>VECPAC_VECPAC_CTRL</v>
      </c>
    </row>
    <row r="119" spans="1:7" x14ac:dyDescent="0.2">
      <c r="A119" t="s">
        <v>71</v>
      </c>
      <c r="B119" s="2" t="s">
        <v>35</v>
      </c>
      <c r="C119">
        <v>0</v>
      </c>
      <c r="D119" s="3" t="s">
        <v>35</v>
      </c>
      <c r="E119" t="s">
        <v>143</v>
      </c>
      <c r="F119" t="s">
        <v>165</v>
      </c>
      <c r="G119" t="str">
        <f t="shared" si="1"/>
        <v>VECPAC_VECPAC_CTRL</v>
      </c>
    </row>
    <row r="120" spans="1:7" x14ac:dyDescent="0.2">
      <c r="A120" t="s">
        <v>47</v>
      </c>
      <c r="B120" s="2" t="s">
        <v>35</v>
      </c>
      <c r="C120">
        <v>1</v>
      </c>
      <c r="D120" s="2" t="s">
        <v>35</v>
      </c>
      <c r="E120" t="s">
        <v>158</v>
      </c>
      <c r="F120" t="s">
        <v>165</v>
      </c>
      <c r="G120" t="str">
        <f t="shared" si="1"/>
        <v>VECPAC_VECPAC_CTRL</v>
      </c>
    </row>
    <row r="121" spans="1:7" x14ac:dyDescent="0.2">
      <c r="A121" t="s">
        <v>48</v>
      </c>
      <c r="B121" s="2" t="s">
        <v>35</v>
      </c>
      <c r="C121">
        <v>1</v>
      </c>
      <c r="D121" s="2" t="s">
        <v>35</v>
      </c>
      <c r="E121" t="s">
        <v>158</v>
      </c>
      <c r="F121" t="s">
        <v>165</v>
      </c>
      <c r="G121" t="str">
        <f t="shared" si="1"/>
        <v>VECPAC_VECPAC_CTRL</v>
      </c>
    </row>
    <row r="122" spans="1:7" x14ac:dyDescent="0.2">
      <c r="A122" t="s">
        <v>49</v>
      </c>
      <c r="B122" s="2" t="s">
        <v>35</v>
      </c>
      <c r="C122">
        <v>1</v>
      </c>
      <c r="D122" s="2" t="s">
        <v>35</v>
      </c>
      <c r="E122" t="s">
        <v>158</v>
      </c>
      <c r="F122" t="s">
        <v>165</v>
      </c>
      <c r="G122" t="str">
        <f t="shared" si="1"/>
        <v>VECPAC_VECPAC_CTRL</v>
      </c>
    </row>
    <row r="123" spans="1:7" x14ac:dyDescent="0.2">
      <c r="A123" t="s">
        <v>50</v>
      </c>
      <c r="B123" s="2" t="s">
        <v>35</v>
      </c>
      <c r="C123">
        <v>1</v>
      </c>
      <c r="D123" s="2" t="s">
        <v>35</v>
      </c>
      <c r="E123" t="s">
        <v>158</v>
      </c>
      <c r="F123" t="s">
        <v>165</v>
      </c>
      <c r="G123" t="str">
        <f t="shared" si="1"/>
        <v>VECPAC_VECPAC_CTRL</v>
      </c>
    </row>
    <row r="124" spans="1:7" x14ac:dyDescent="0.2">
      <c r="A124" t="s">
        <v>51</v>
      </c>
      <c r="B124" s="2" t="s">
        <v>35</v>
      </c>
      <c r="C124">
        <v>1</v>
      </c>
      <c r="D124" s="2" t="s">
        <v>35</v>
      </c>
      <c r="E124" t="s">
        <v>158</v>
      </c>
      <c r="F124" t="s">
        <v>165</v>
      </c>
      <c r="G124" t="str">
        <f t="shared" si="1"/>
        <v>VECPAC_VECPAC_CTRL</v>
      </c>
    </row>
  </sheetData>
  <sortState xmlns:xlrd2="http://schemas.microsoft.com/office/spreadsheetml/2017/richdata2" ref="A132:B254">
    <sortCondition ref="A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173"/>
  <sheetViews>
    <sheetView tabSelected="1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O85" sqref="O85"/>
    </sheetView>
  </sheetViews>
  <sheetFormatPr baseColWidth="10" defaultColWidth="8.83203125" defaultRowHeight="15" x14ac:dyDescent="0.2"/>
  <cols>
    <col min="1" max="1" width="32.6640625" bestFit="1" customWidth="1"/>
    <col min="2" max="2" width="16.33203125" bestFit="1" customWidth="1"/>
    <col min="3" max="3" width="13.5" bestFit="1" customWidth="1"/>
    <col min="4" max="5" width="13" bestFit="1" customWidth="1"/>
    <col min="6" max="7" width="9.83203125" bestFit="1" customWidth="1"/>
    <col min="8" max="8" width="12.5" bestFit="1" customWidth="1"/>
    <col min="9" max="9" width="13.33203125" bestFit="1" customWidth="1"/>
    <col min="10" max="10" width="9.83203125" bestFit="1" customWidth="1"/>
    <col min="11" max="11" width="13.33203125" bestFit="1" customWidth="1"/>
    <col min="12" max="12" width="20.33203125" bestFit="1" customWidth="1"/>
    <col min="13" max="13" width="15.1640625" customWidth="1"/>
    <col min="15" max="15" width="11.5" bestFit="1" customWidth="1"/>
  </cols>
  <sheetData>
    <row r="1" spans="1:15" x14ac:dyDescent="0.2">
      <c r="A1" t="s">
        <v>61</v>
      </c>
      <c r="B1" t="s">
        <v>215</v>
      </c>
      <c r="C1" t="s">
        <v>177</v>
      </c>
      <c r="D1" t="s">
        <v>216</v>
      </c>
      <c r="E1" t="s">
        <v>178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236</v>
      </c>
      <c r="L1" t="s">
        <v>223</v>
      </c>
      <c r="M1" t="s">
        <v>222</v>
      </c>
      <c r="N1" t="s">
        <v>237</v>
      </c>
      <c r="O1" t="s">
        <v>238</v>
      </c>
    </row>
    <row r="2" spans="1:15" ht="16" hidden="1" x14ac:dyDescent="0.2">
      <c r="A2" t="s">
        <v>107</v>
      </c>
      <c r="C2" t="s">
        <v>172</v>
      </c>
      <c r="D2" t="s">
        <v>181</v>
      </c>
      <c r="E2" t="s">
        <v>3</v>
      </c>
      <c r="F2" t="s">
        <v>190</v>
      </c>
      <c r="G2" t="s">
        <v>190</v>
      </c>
      <c r="H2" t="s">
        <v>190</v>
      </c>
      <c r="I2" t="s">
        <v>189</v>
      </c>
      <c r="J2" t="s">
        <v>200</v>
      </c>
      <c r="K2" t="s">
        <v>200</v>
      </c>
      <c r="L2" s="2" t="s">
        <v>225</v>
      </c>
      <c r="M2" s="4" t="s">
        <v>225</v>
      </c>
      <c r="N2" t="s">
        <v>240</v>
      </c>
    </row>
    <row r="3" spans="1:15" ht="16" hidden="1" x14ac:dyDescent="0.2">
      <c r="A3" t="s">
        <v>108</v>
      </c>
      <c r="B3" t="s">
        <v>171</v>
      </c>
      <c r="C3" t="s">
        <v>172</v>
      </c>
      <c r="D3" t="s">
        <v>186</v>
      </c>
      <c r="E3" t="s">
        <v>3</v>
      </c>
      <c r="F3" t="s">
        <v>190</v>
      </c>
      <c r="G3" t="s">
        <v>190</v>
      </c>
      <c r="H3" t="s">
        <v>190</v>
      </c>
      <c r="I3" t="s">
        <v>194</v>
      </c>
      <c r="J3" t="s">
        <v>201</v>
      </c>
      <c r="K3" t="s">
        <v>200</v>
      </c>
      <c r="L3" s="2" t="s">
        <v>225</v>
      </c>
      <c r="M3" s="4" t="s">
        <v>225</v>
      </c>
      <c r="N3" t="s">
        <v>240</v>
      </c>
    </row>
    <row r="4" spans="1:15" ht="16" hidden="1" x14ac:dyDescent="0.2">
      <c r="A4" t="s">
        <v>109</v>
      </c>
      <c r="B4" t="s">
        <v>169</v>
      </c>
      <c r="C4" t="s">
        <v>172</v>
      </c>
      <c r="D4" t="s">
        <v>184</v>
      </c>
      <c r="E4" t="s">
        <v>3</v>
      </c>
      <c r="F4" t="s">
        <v>190</v>
      </c>
      <c r="G4" t="s">
        <v>190</v>
      </c>
      <c r="H4" t="s">
        <v>190</v>
      </c>
      <c r="I4" t="s">
        <v>189</v>
      </c>
      <c r="J4" t="s">
        <v>200</v>
      </c>
      <c r="K4" t="s">
        <v>200</v>
      </c>
      <c r="L4" s="2" t="s">
        <v>225</v>
      </c>
      <c r="M4" s="4" t="s">
        <v>225</v>
      </c>
      <c r="N4" t="s">
        <v>240</v>
      </c>
    </row>
    <row r="5" spans="1:15" ht="16" hidden="1" x14ac:dyDescent="0.2">
      <c r="A5" t="s">
        <v>110</v>
      </c>
      <c r="C5" t="s">
        <v>172</v>
      </c>
      <c r="D5" t="s">
        <v>187</v>
      </c>
      <c r="E5" t="s">
        <v>3</v>
      </c>
      <c r="F5" t="s">
        <v>190</v>
      </c>
      <c r="G5" t="s">
        <v>190</v>
      </c>
      <c r="H5" t="s">
        <v>190</v>
      </c>
      <c r="I5" t="s">
        <v>189</v>
      </c>
      <c r="J5" t="s">
        <v>200</v>
      </c>
      <c r="K5" t="s">
        <v>200</v>
      </c>
      <c r="L5" s="2" t="s">
        <v>225</v>
      </c>
      <c r="M5" s="4" t="s">
        <v>225</v>
      </c>
      <c r="N5" t="s">
        <v>240</v>
      </c>
    </row>
    <row r="6" spans="1:15" ht="16" hidden="1" x14ac:dyDescent="0.2">
      <c r="A6" t="s">
        <v>111</v>
      </c>
      <c r="B6" t="s">
        <v>169</v>
      </c>
      <c r="C6" t="s">
        <v>172</v>
      </c>
      <c r="D6" t="s">
        <v>187</v>
      </c>
      <c r="E6" t="s">
        <v>3</v>
      </c>
      <c r="F6" t="s">
        <v>190</v>
      </c>
      <c r="G6" t="s">
        <v>190</v>
      </c>
      <c r="H6" t="s">
        <v>190</v>
      </c>
      <c r="I6" t="s">
        <v>189</v>
      </c>
      <c r="J6" t="s">
        <v>200</v>
      </c>
      <c r="K6" t="s">
        <v>200</v>
      </c>
      <c r="L6" s="2" t="s">
        <v>225</v>
      </c>
      <c r="M6" s="4" t="s">
        <v>225</v>
      </c>
      <c r="N6" t="s">
        <v>240</v>
      </c>
    </row>
    <row r="7" spans="1:15" hidden="1" x14ac:dyDescent="0.2">
      <c r="A7" t="s">
        <v>106</v>
      </c>
      <c r="B7" t="s">
        <v>171</v>
      </c>
      <c r="C7" t="s">
        <v>172</v>
      </c>
      <c r="D7" t="s">
        <v>186</v>
      </c>
      <c r="E7" t="s">
        <v>3</v>
      </c>
      <c r="F7" t="s">
        <v>190</v>
      </c>
      <c r="G7" t="s">
        <v>190</v>
      </c>
      <c r="H7" t="s">
        <v>190</v>
      </c>
      <c r="I7" t="s">
        <v>189</v>
      </c>
      <c r="J7" t="s">
        <v>200</v>
      </c>
      <c r="K7" t="s">
        <v>200</v>
      </c>
      <c r="L7" s="2" t="s">
        <v>225</v>
      </c>
      <c r="M7" s="3" t="s">
        <v>225</v>
      </c>
      <c r="N7" t="s">
        <v>240</v>
      </c>
    </row>
    <row r="8" spans="1:15" hidden="1" x14ac:dyDescent="0.2">
      <c r="A8" t="s">
        <v>2</v>
      </c>
      <c r="E8" t="s">
        <v>3</v>
      </c>
      <c r="L8" s="2" t="s">
        <v>225</v>
      </c>
      <c r="M8" s="2" t="s">
        <v>225</v>
      </c>
      <c r="N8" t="s">
        <v>240</v>
      </c>
    </row>
    <row r="9" spans="1:15" hidden="1" x14ac:dyDescent="0.2">
      <c r="A9" t="s">
        <v>4</v>
      </c>
      <c r="E9" t="s">
        <v>3</v>
      </c>
      <c r="L9" s="2" t="s">
        <v>225</v>
      </c>
      <c r="M9" s="2" t="s">
        <v>225</v>
      </c>
      <c r="N9" t="s">
        <v>240</v>
      </c>
    </row>
    <row r="10" spans="1:15" hidden="1" x14ac:dyDescent="0.2">
      <c r="A10" t="s">
        <v>5</v>
      </c>
      <c r="E10" t="s">
        <v>3</v>
      </c>
      <c r="L10" s="2" t="s">
        <v>225</v>
      </c>
      <c r="M10" s="2" t="s">
        <v>225</v>
      </c>
      <c r="N10" t="s">
        <v>240</v>
      </c>
    </row>
    <row r="11" spans="1:15" hidden="1" x14ac:dyDescent="0.2">
      <c r="A11" t="s">
        <v>6</v>
      </c>
      <c r="E11" t="s">
        <v>3</v>
      </c>
      <c r="L11" s="2" t="s">
        <v>225</v>
      </c>
      <c r="M11" s="2" t="s">
        <v>225</v>
      </c>
      <c r="N11" t="s">
        <v>240</v>
      </c>
    </row>
    <row r="12" spans="1:15" hidden="1" x14ac:dyDescent="0.2">
      <c r="A12" t="s">
        <v>7</v>
      </c>
      <c r="E12" t="s">
        <v>3</v>
      </c>
      <c r="L12" s="2" t="s">
        <v>225</v>
      </c>
      <c r="M12" s="2" t="s">
        <v>225</v>
      </c>
      <c r="N12" t="s">
        <v>240</v>
      </c>
    </row>
    <row r="13" spans="1:15" hidden="1" x14ac:dyDescent="0.2">
      <c r="A13" t="s">
        <v>8</v>
      </c>
      <c r="E13" t="s">
        <v>3</v>
      </c>
      <c r="L13" s="2" t="s">
        <v>225</v>
      </c>
      <c r="M13" s="2" t="s">
        <v>225</v>
      </c>
      <c r="N13" t="s">
        <v>240</v>
      </c>
    </row>
    <row r="14" spans="1:15" hidden="1" x14ac:dyDescent="0.2">
      <c r="A14" t="s">
        <v>105</v>
      </c>
      <c r="E14" t="s">
        <v>3</v>
      </c>
      <c r="L14" s="2" t="s">
        <v>225</v>
      </c>
      <c r="M14" s="2" t="s">
        <v>225</v>
      </c>
      <c r="N14" t="s">
        <v>240</v>
      </c>
    </row>
    <row r="15" spans="1:15" hidden="1" x14ac:dyDescent="0.2">
      <c r="A15" t="s">
        <v>0</v>
      </c>
      <c r="E15" t="s">
        <v>3</v>
      </c>
      <c r="L15" s="2" t="s">
        <v>225</v>
      </c>
      <c r="M15" s="2" t="s">
        <v>225</v>
      </c>
      <c r="N15" t="s">
        <v>240</v>
      </c>
    </row>
    <row r="16" spans="1:15" ht="16" hidden="1" x14ac:dyDescent="0.2">
      <c r="A16" t="s">
        <v>112</v>
      </c>
      <c r="B16" t="s">
        <v>171</v>
      </c>
      <c r="C16" t="s">
        <v>176</v>
      </c>
      <c r="D16" t="s">
        <v>175</v>
      </c>
      <c r="E16" t="s">
        <v>3</v>
      </c>
      <c r="F16" t="s">
        <v>189</v>
      </c>
      <c r="G16" t="s">
        <v>198</v>
      </c>
      <c r="H16" t="s">
        <v>200</v>
      </c>
      <c r="I16" t="s">
        <v>197</v>
      </c>
      <c r="J16" t="s">
        <v>203</v>
      </c>
      <c r="K16" t="s">
        <v>203</v>
      </c>
      <c r="L16" s="2" t="s">
        <v>226</v>
      </c>
      <c r="M16" s="4" t="s">
        <v>226</v>
      </c>
      <c r="N16" t="s">
        <v>240</v>
      </c>
    </row>
    <row r="17" spans="1:14" ht="16" hidden="1" x14ac:dyDescent="0.2">
      <c r="A17" t="s">
        <v>113</v>
      </c>
      <c r="B17" t="s">
        <v>171</v>
      </c>
      <c r="C17" t="s">
        <v>174</v>
      </c>
      <c r="D17" t="s">
        <v>181</v>
      </c>
      <c r="E17" t="s">
        <v>3</v>
      </c>
      <c r="F17" t="s">
        <v>189</v>
      </c>
      <c r="G17" t="s">
        <v>197</v>
      </c>
      <c r="H17" t="s">
        <v>200</v>
      </c>
      <c r="I17" t="s">
        <v>197</v>
      </c>
      <c r="J17" t="s">
        <v>194</v>
      </c>
      <c r="K17" t="s">
        <v>197</v>
      </c>
      <c r="L17" s="2" t="s">
        <v>226</v>
      </c>
      <c r="M17" s="4" t="s">
        <v>226</v>
      </c>
      <c r="N17" t="s">
        <v>240</v>
      </c>
    </row>
    <row r="18" spans="1:14" ht="16" hidden="1" x14ac:dyDescent="0.2">
      <c r="A18" t="s">
        <v>115</v>
      </c>
      <c r="C18" t="s">
        <v>175</v>
      </c>
      <c r="D18" t="s">
        <v>179</v>
      </c>
      <c r="E18" t="s">
        <v>3</v>
      </c>
      <c r="F18" t="s">
        <v>189</v>
      </c>
      <c r="G18" t="s">
        <v>197</v>
      </c>
      <c r="H18" t="s">
        <v>201</v>
      </c>
      <c r="I18" t="s">
        <v>208</v>
      </c>
      <c r="J18" t="s">
        <v>189</v>
      </c>
      <c r="K18" t="s">
        <v>211</v>
      </c>
      <c r="L18" s="2" t="s">
        <v>226</v>
      </c>
      <c r="M18" s="4" t="s">
        <v>226</v>
      </c>
      <c r="N18" t="s">
        <v>240</v>
      </c>
    </row>
    <row r="19" spans="1:14" ht="16" hidden="1" x14ac:dyDescent="0.2">
      <c r="A19" t="s">
        <v>116</v>
      </c>
      <c r="B19" t="s">
        <v>171</v>
      </c>
      <c r="C19" t="s">
        <v>173</v>
      </c>
      <c r="D19" t="s">
        <v>183</v>
      </c>
      <c r="E19" t="s">
        <v>3</v>
      </c>
      <c r="F19" t="s">
        <v>189</v>
      </c>
      <c r="G19" t="s">
        <v>197</v>
      </c>
      <c r="H19" t="s">
        <v>200</v>
      </c>
      <c r="I19" t="s">
        <v>206</v>
      </c>
      <c r="J19" t="s">
        <v>201</v>
      </c>
      <c r="K19" t="s">
        <v>203</v>
      </c>
      <c r="L19" s="2" t="s">
        <v>226</v>
      </c>
      <c r="M19" s="4" t="s">
        <v>226</v>
      </c>
      <c r="N19" t="s">
        <v>240</v>
      </c>
    </row>
    <row r="20" spans="1:14" ht="16" hidden="1" x14ac:dyDescent="0.2">
      <c r="A20" t="s">
        <v>118</v>
      </c>
      <c r="C20" t="s">
        <v>174</v>
      </c>
      <c r="D20" t="s">
        <v>179</v>
      </c>
      <c r="E20" t="s">
        <v>3</v>
      </c>
      <c r="F20" t="s">
        <v>189</v>
      </c>
      <c r="G20" t="s">
        <v>197</v>
      </c>
      <c r="H20" t="s">
        <v>200</v>
      </c>
      <c r="I20" t="s">
        <v>212</v>
      </c>
      <c r="J20" t="s">
        <v>207</v>
      </c>
      <c r="K20" t="s">
        <v>197</v>
      </c>
      <c r="L20" s="2" t="s">
        <v>226</v>
      </c>
      <c r="M20" s="4" t="s">
        <v>226</v>
      </c>
      <c r="N20" t="s">
        <v>240</v>
      </c>
    </row>
    <row r="21" spans="1:14" hidden="1" x14ac:dyDescent="0.2">
      <c r="A21" t="s">
        <v>12</v>
      </c>
      <c r="E21" t="s">
        <v>3</v>
      </c>
      <c r="L21" s="2" t="s">
        <v>226</v>
      </c>
      <c r="M21" s="2" t="s">
        <v>226</v>
      </c>
      <c r="N21" t="s">
        <v>240</v>
      </c>
    </row>
    <row r="22" spans="1:14" hidden="1" x14ac:dyDescent="0.2">
      <c r="A22" t="s">
        <v>13</v>
      </c>
      <c r="E22" t="s">
        <v>3</v>
      </c>
      <c r="L22" s="2" t="s">
        <v>226</v>
      </c>
      <c r="M22" s="2" t="s">
        <v>226</v>
      </c>
      <c r="N22" t="s">
        <v>240</v>
      </c>
    </row>
    <row r="23" spans="1:14" hidden="1" x14ac:dyDescent="0.2">
      <c r="A23" t="s">
        <v>14</v>
      </c>
      <c r="E23" t="s">
        <v>3</v>
      </c>
      <c r="L23" s="2" t="s">
        <v>226</v>
      </c>
      <c r="M23" s="2" t="s">
        <v>226</v>
      </c>
      <c r="N23" t="s">
        <v>240</v>
      </c>
    </row>
    <row r="24" spans="1:14" hidden="1" x14ac:dyDescent="0.2">
      <c r="A24" t="s">
        <v>15</v>
      </c>
      <c r="E24" t="s">
        <v>3</v>
      </c>
      <c r="L24" s="2" t="s">
        <v>226</v>
      </c>
      <c r="M24" s="2" t="s">
        <v>226</v>
      </c>
      <c r="N24" t="s">
        <v>240</v>
      </c>
    </row>
    <row r="25" spans="1:14" hidden="1" x14ac:dyDescent="0.2">
      <c r="A25" t="s">
        <v>9</v>
      </c>
      <c r="E25" t="s">
        <v>3</v>
      </c>
      <c r="L25" s="2" t="s">
        <v>226</v>
      </c>
      <c r="M25" s="2" t="s">
        <v>226</v>
      </c>
      <c r="N25" t="s">
        <v>240</v>
      </c>
    </row>
    <row r="26" spans="1:14" hidden="1" x14ac:dyDescent="0.2">
      <c r="A26" t="s">
        <v>10</v>
      </c>
      <c r="E26" t="s">
        <v>3</v>
      </c>
      <c r="L26" s="2" t="s">
        <v>226</v>
      </c>
      <c r="M26" s="2" t="s">
        <v>226</v>
      </c>
      <c r="N26" t="s">
        <v>240</v>
      </c>
    </row>
    <row r="27" spans="1:14" hidden="1" x14ac:dyDescent="0.2">
      <c r="A27" t="s">
        <v>11</v>
      </c>
      <c r="E27" t="s">
        <v>3</v>
      </c>
      <c r="L27" s="2" t="s">
        <v>226</v>
      </c>
      <c r="M27" s="2" t="s">
        <v>226</v>
      </c>
      <c r="N27" t="s">
        <v>240</v>
      </c>
    </row>
    <row r="28" spans="1:14" hidden="1" x14ac:dyDescent="0.2">
      <c r="A28" t="s">
        <v>114</v>
      </c>
      <c r="E28" t="s">
        <v>3</v>
      </c>
      <c r="L28" s="2" t="s">
        <v>226</v>
      </c>
      <c r="M28" s="2" t="s">
        <v>233</v>
      </c>
      <c r="N28" t="s">
        <v>240</v>
      </c>
    </row>
    <row r="29" spans="1:14" x14ac:dyDescent="0.2">
      <c r="A29" t="s">
        <v>117</v>
      </c>
      <c r="C29" t="s">
        <v>172</v>
      </c>
      <c r="D29" t="s">
        <v>180</v>
      </c>
      <c r="E29" t="s">
        <v>3</v>
      </c>
      <c r="F29" t="s">
        <v>190</v>
      </c>
      <c r="G29" t="s">
        <v>190</v>
      </c>
      <c r="H29" t="s">
        <v>200</v>
      </c>
      <c r="I29" t="s">
        <v>189</v>
      </c>
      <c r="J29" t="s">
        <v>200</v>
      </c>
      <c r="K29" t="s">
        <v>200</v>
      </c>
      <c r="L29" s="2" t="s">
        <v>226</v>
      </c>
      <c r="M29" t="s">
        <v>242</v>
      </c>
      <c r="N29" t="s">
        <v>241</v>
      </c>
    </row>
    <row r="30" spans="1:14" ht="16" hidden="1" x14ac:dyDescent="0.2">
      <c r="A30" t="s">
        <v>120</v>
      </c>
      <c r="B30" t="s">
        <v>171</v>
      </c>
      <c r="C30" t="s">
        <v>174</v>
      </c>
      <c r="D30" t="s">
        <v>181</v>
      </c>
      <c r="E30" t="s">
        <v>3</v>
      </c>
      <c r="F30" t="s">
        <v>189</v>
      </c>
      <c r="G30" t="s">
        <v>197</v>
      </c>
      <c r="H30" t="s">
        <v>200</v>
      </c>
      <c r="I30" t="s">
        <v>198</v>
      </c>
      <c r="J30" t="s">
        <v>189</v>
      </c>
      <c r="K30" t="s">
        <v>197</v>
      </c>
      <c r="L30" s="2" t="s">
        <v>227</v>
      </c>
      <c r="M30" s="4" t="s">
        <v>227</v>
      </c>
      <c r="N30" t="s">
        <v>240</v>
      </c>
    </row>
    <row r="31" spans="1:14" ht="16" hidden="1" x14ac:dyDescent="0.2">
      <c r="A31" t="s">
        <v>123</v>
      </c>
      <c r="E31" t="s">
        <v>3</v>
      </c>
      <c r="F31" t="s">
        <v>189</v>
      </c>
      <c r="G31" t="s">
        <v>197</v>
      </c>
      <c r="H31" t="s">
        <v>200</v>
      </c>
      <c r="I31" t="s">
        <v>192</v>
      </c>
      <c r="J31" t="s">
        <v>189</v>
      </c>
      <c r="K31" t="s">
        <v>197</v>
      </c>
      <c r="L31" s="2" t="s">
        <v>227</v>
      </c>
      <c r="M31" s="4" t="s">
        <v>227</v>
      </c>
      <c r="N31" t="s">
        <v>240</v>
      </c>
    </row>
    <row r="32" spans="1:14" ht="16" hidden="1" x14ac:dyDescent="0.2">
      <c r="A32" t="s">
        <v>124</v>
      </c>
      <c r="B32" t="s">
        <v>167</v>
      </c>
      <c r="E32" t="s">
        <v>3</v>
      </c>
      <c r="F32" t="s">
        <v>189</v>
      </c>
      <c r="G32" t="s">
        <v>197</v>
      </c>
      <c r="H32" t="s">
        <v>200</v>
      </c>
      <c r="I32" t="s">
        <v>210</v>
      </c>
      <c r="J32" t="s">
        <v>194</v>
      </c>
      <c r="K32" t="s">
        <v>197</v>
      </c>
      <c r="L32" s="2" t="s">
        <v>227</v>
      </c>
      <c r="M32" s="4" t="s">
        <v>227</v>
      </c>
      <c r="N32" t="s">
        <v>240</v>
      </c>
    </row>
    <row r="33" spans="1:14" hidden="1" x14ac:dyDescent="0.2">
      <c r="A33" t="s">
        <v>22</v>
      </c>
      <c r="E33" t="s">
        <v>3</v>
      </c>
      <c r="F33" t="s">
        <v>189</v>
      </c>
      <c r="G33" t="s">
        <v>197</v>
      </c>
      <c r="H33" t="s">
        <v>200</v>
      </c>
      <c r="I33" t="s">
        <v>206</v>
      </c>
      <c r="J33" t="s">
        <v>189</v>
      </c>
      <c r="K33" t="s">
        <v>197</v>
      </c>
      <c r="L33" s="2" t="s">
        <v>227</v>
      </c>
      <c r="M33" s="3" t="s">
        <v>227</v>
      </c>
      <c r="N33" t="s">
        <v>240</v>
      </c>
    </row>
    <row r="34" spans="1:14" hidden="1" x14ac:dyDescent="0.2">
      <c r="A34" t="s">
        <v>17</v>
      </c>
      <c r="E34" t="s">
        <v>3</v>
      </c>
      <c r="L34" s="2" t="s">
        <v>227</v>
      </c>
      <c r="M34" s="2" t="s">
        <v>227</v>
      </c>
      <c r="N34" t="s">
        <v>240</v>
      </c>
    </row>
    <row r="35" spans="1:14" hidden="1" x14ac:dyDescent="0.2">
      <c r="A35" t="s">
        <v>18</v>
      </c>
      <c r="E35" t="s">
        <v>3</v>
      </c>
      <c r="L35" s="2" t="s">
        <v>227</v>
      </c>
      <c r="M35" s="2" t="s">
        <v>227</v>
      </c>
      <c r="N35" t="s">
        <v>240</v>
      </c>
    </row>
    <row r="36" spans="1:14" hidden="1" x14ac:dyDescent="0.2">
      <c r="A36" t="s">
        <v>19</v>
      </c>
      <c r="E36" t="s">
        <v>3</v>
      </c>
      <c r="L36" s="2" t="s">
        <v>227</v>
      </c>
      <c r="M36" s="2" t="s">
        <v>227</v>
      </c>
      <c r="N36" t="s">
        <v>240</v>
      </c>
    </row>
    <row r="37" spans="1:14" hidden="1" x14ac:dyDescent="0.2">
      <c r="A37" t="s">
        <v>20</v>
      </c>
      <c r="E37" t="s">
        <v>3</v>
      </c>
      <c r="L37" s="2" t="s">
        <v>227</v>
      </c>
      <c r="M37" s="2" t="s">
        <v>227</v>
      </c>
      <c r="N37" t="s">
        <v>240</v>
      </c>
    </row>
    <row r="38" spans="1:14" hidden="1" x14ac:dyDescent="0.2">
      <c r="A38" t="s">
        <v>21</v>
      </c>
      <c r="E38" t="s">
        <v>3</v>
      </c>
      <c r="L38" s="2" t="s">
        <v>227</v>
      </c>
      <c r="M38" s="2" t="s">
        <v>227</v>
      </c>
      <c r="N38" t="s">
        <v>240</v>
      </c>
    </row>
    <row r="39" spans="1:14" hidden="1" x14ac:dyDescent="0.2">
      <c r="A39" t="s">
        <v>16</v>
      </c>
      <c r="E39" t="s">
        <v>3</v>
      </c>
      <c r="L39" s="2" t="s">
        <v>227</v>
      </c>
      <c r="M39" s="2" t="s">
        <v>227</v>
      </c>
      <c r="N39" t="s">
        <v>240</v>
      </c>
    </row>
    <row r="40" spans="1:14" hidden="1" x14ac:dyDescent="0.2">
      <c r="A40" t="s">
        <v>119</v>
      </c>
      <c r="E40" t="s">
        <v>3</v>
      </c>
      <c r="L40" s="2" t="s">
        <v>227</v>
      </c>
      <c r="M40" s="2" t="s">
        <v>227</v>
      </c>
      <c r="N40" t="s">
        <v>240</v>
      </c>
    </row>
    <row r="41" spans="1:14" hidden="1" x14ac:dyDescent="0.2">
      <c r="A41" t="s">
        <v>121</v>
      </c>
      <c r="E41" t="s">
        <v>3</v>
      </c>
      <c r="L41" s="2" t="s">
        <v>227</v>
      </c>
      <c r="M41" s="2" t="s">
        <v>227</v>
      </c>
      <c r="N41" t="s">
        <v>240</v>
      </c>
    </row>
    <row r="42" spans="1:14" hidden="1" x14ac:dyDescent="0.2">
      <c r="A42" t="s">
        <v>24</v>
      </c>
      <c r="E42" t="s">
        <v>3</v>
      </c>
      <c r="L42" s="2" t="s">
        <v>227</v>
      </c>
      <c r="M42" s="2" t="s">
        <v>227</v>
      </c>
      <c r="N42" t="s">
        <v>240</v>
      </c>
    </row>
    <row r="43" spans="1:14" hidden="1" x14ac:dyDescent="0.2">
      <c r="A43" t="s">
        <v>122</v>
      </c>
      <c r="E43" t="s">
        <v>3</v>
      </c>
      <c r="L43" s="2" t="s">
        <v>227</v>
      </c>
      <c r="M43" s="2" t="s">
        <v>227</v>
      </c>
      <c r="N43" t="s">
        <v>240</v>
      </c>
    </row>
    <row r="44" spans="1:14" hidden="1" x14ac:dyDescent="0.2">
      <c r="A44" t="s">
        <v>23</v>
      </c>
      <c r="E44" t="s">
        <v>3</v>
      </c>
      <c r="L44" s="2" t="s">
        <v>227</v>
      </c>
      <c r="M44" s="2" t="s">
        <v>234</v>
      </c>
      <c r="N44" t="s">
        <v>240</v>
      </c>
    </row>
    <row r="45" spans="1:14" ht="16" hidden="1" x14ac:dyDescent="0.2">
      <c r="A45" t="s">
        <v>27</v>
      </c>
      <c r="E45" t="s">
        <v>3</v>
      </c>
      <c r="F45" t="s">
        <v>190</v>
      </c>
      <c r="G45" t="s">
        <v>190</v>
      </c>
      <c r="H45" t="s">
        <v>193</v>
      </c>
      <c r="I45" t="s">
        <v>189</v>
      </c>
      <c r="J45" t="s">
        <v>200</v>
      </c>
      <c r="K45" t="s">
        <v>200</v>
      </c>
      <c r="L45" s="2" t="s">
        <v>228</v>
      </c>
      <c r="M45" s="4" t="s">
        <v>228</v>
      </c>
      <c r="N45" t="s">
        <v>240</v>
      </c>
    </row>
    <row r="46" spans="1:14" ht="16" hidden="1" x14ac:dyDescent="0.2">
      <c r="A46" t="s">
        <v>126</v>
      </c>
      <c r="E46" t="s">
        <v>3</v>
      </c>
      <c r="F46" t="s">
        <v>189</v>
      </c>
      <c r="G46" t="s">
        <v>197</v>
      </c>
      <c r="H46" t="s">
        <v>200</v>
      </c>
      <c r="I46" t="s">
        <v>197</v>
      </c>
      <c r="J46" t="s">
        <v>200</v>
      </c>
      <c r="K46" t="s">
        <v>211</v>
      </c>
      <c r="L46" s="2" t="s">
        <v>228</v>
      </c>
      <c r="M46" s="4" t="s">
        <v>228</v>
      </c>
      <c r="N46" t="s">
        <v>240</v>
      </c>
    </row>
    <row r="47" spans="1:14" ht="16" hidden="1" x14ac:dyDescent="0.2">
      <c r="A47" t="s">
        <v>127</v>
      </c>
      <c r="B47" t="s">
        <v>168</v>
      </c>
      <c r="E47" t="s">
        <v>3</v>
      </c>
      <c r="F47" t="s">
        <v>189</v>
      </c>
      <c r="G47" t="s">
        <v>197</v>
      </c>
      <c r="H47" t="s">
        <v>201</v>
      </c>
      <c r="I47" t="s">
        <v>197</v>
      </c>
      <c r="J47" t="s">
        <v>213</v>
      </c>
      <c r="K47" t="s">
        <v>201</v>
      </c>
      <c r="L47" s="2" t="s">
        <v>228</v>
      </c>
      <c r="M47" s="4" t="s">
        <v>228</v>
      </c>
      <c r="N47" t="s">
        <v>240</v>
      </c>
    </row>
    <row r="48" spans="1:14" ht="16" hidden="1" x14ac:dyDescent="0.2">
      <c r="A48" t="s">
        <v>128</v>
      </c>
      <c r="C48" t="s">
        <v>172</v>
      </c>
      <c r="D48" t="s">
        <v>188</v>
      </c>
      <c r="E48" t="s">
        <v>3</v>
      </c>
      <c r="F48" t="s">
        <v>193</v>
      </c>
      <c r="G48" t="s">
        <v>190</v>
      </c>
      <c r="H48" t="s">
        <v>200</v>
      </c>
      <c r="I48" t="s">
        <v>189</v>
      </c>
      <c r="J48" t="s">
        <v>200</v>
      </c>
      <c r="K48" t="s">
        <v>200</v>
      </c>
      <c r="L48" s="2" t="s">
        <v>228</v>
      </c>
      <c r="M48" s="4" t="s">
        <v>228</v>
      </c>
      <c r="N48" t="s">
        <v>240</v>
      </c>
    </row>
    <row r="49" spans="1:15" hidden="1" x14ac:dyDescent="0.2">
      <c r="A49" t="s">
        <v>30</v>
      </c>
      <c r="E49" t="s">
        <v>3</v>
      </c>
      <c r="F49" t="s">
        <v>195</v>
      </c>
      <c r="G49" t="s">
        <v>190</v>
      </c>
      <c r="H49" t="s">
        <v>200</v>
      </c>
      <c r="I49" t="s">
        <v>189</v>
      </c>
      <c r="J49" t="s">
        <v>200</v>
      </c>
      <c r="K49" t="s">
        <v>200</v>
      </c>
      <c r="L49" s="2" t="s">
        <v>228</v>
      </c>
      <c r="M49" s="3" t="s">
        <v>228</v>
      </c>
      <c r="N49" t="s">
        <v>240</v>
      </c>
    </row>
    <row r="50" spans="1:15" hidden="1" x14ac:dyDescent="0.2">
      <c r="A50" t="s">
        <v>25</v>
      </c>
      <c r="E50" t="s">
        <v>3</v>
      </c>
      <c r="F50" t="s">
        <v>190</v>
      </c>
      <c r="G50" t="s">
        <v>190</v>
      </c>
      <c r="H50" t="s">
        <v>193</v>
      </c>
      <c r="I50" t="s">
        <v>189</v>
      </c>
      <c r="J50" t="s">
        <v>202</v>
      </c>
      <c r="K50" t="s">
        <v>201</v>
      </c>
      <c r="L50" s="2" t="s">
        <v>228</v>
      </c>
      <c r="M50" s="3" t="s">
        <v>228</v>
      </c>
      <c r="N50" t="s">
        <v>240</v>
      </c>
    </row>
    <row r="51" spans="1:15" hidden="1" x14ac:dyDescent="0.2">
      <c r="A51" t="s">
        <v>31</v>
      </c>
      <c r="E51" t="s">
        <v>3</v>
      </c>
      <c r="L51" s="2" t="s">
        <v>228</v>
      </c>
      <c r="M51" s="2" t="s">
        <v>1</v>
      </c>
      <c r="N51" t="s">
        <v>240</v>
      </c>
    </row>
    <row r="52" spans="1:15" hidden="1" x14ac:dyDescent="0.2">
      <c r="A52" t="s">
        <v>28</v>
      </c>
      <c r="E52" t="s">
        <v>3</v>
      </c>
      <c r="L52" s="2" t="s">
        <v>228</v>
      </c>
      <c r="M52" s="2" t="s">
        <v>228</v>
      </c>
      <c r="N52" t="s">
        <v>240</v>
      </c>
    </row>
    <row r="53" spans="1:15" hidden="1" x14ac:dyDescent="0.2">
      <c r="A53" t="s">
        <v>29</v>
      </c>
      <c r="E53" t="s">
        <v>3</v>
      </c>
      <c r="L53" s="2" t="s">
        <v>228</v>
      </c>
      <c r="M53" s="2" t="s">
        <v>228</v>
      </c>
      <c r="N53" t="s">
        <v>240</v>
      </c>
    </row>
    <row r="54" spans="1:15" hidden="1" x14ac:dyDescent="0.2">
      <c r="A54" t="s">
        <v>32</v>
      </c>
      <c r="E54" t="s">
        <v>3</v>
      </c>
      <c r="L54" s="2" t="s">
        <v>228</v>
      </c>
      <c r="M54" s="2" t="s">
        <v>228</v>
      </c>
      <c r="N54" t="s">
        <v>240</v>
      </c>
    </row>
    <row r="55" spans="1:15" hidden="1" x14ac:dyDescent="0.2">
      <c r="A55" t="s">
        <v>125</v>
      </c>
      <c r="E55" t="s">
        <v>3</v>
      </c>
      <c r="L55" s="2" t="s">
        <v>228</v>
      </c>
      <c r="M55" s="2" t="s">
        <v>228</v>
      </c>
      <c r="N55" t="s">
        <v>240</v>
      </c>
    </row>
    <row r="56" spans="1:15" hidden="1" x14ac:dyDescent="0.2">
      <c r="A56" t="s">
        <v>33</v>
      </c>
      <c r="E56" t="s">
        <v>3</v>
      </c>
      <c r="L56" s="2" t="s">
        <v>228</v>
      </c>
      <c r="M56" s="2" t="s">
        <v>235</v>
      </c>
      <c r="N56" t="s">
        <v>240</v>
      </c>
    </row>
    <row r="57" spans="1:15" hidden="1" x14ac:dyDescent="0.2">
      <c r="A57" t="s">
        <v>129</v>
      </c>
      <c r="E57" t="s">
        <v>3</v>
      </c>
      <c r="L57" s="2" t="s">
        <v>228</v>
      </c>
      <c r="M57" s="2" t="s">
        <v>235</v>
      </c>
      <c r="N57" t="s">
        <v>240</v>
      </c>
    </row>
    <row r="58" spans="1:15" x14ac:dyDescent="0.2">
      <c r="A58" t="s">
        <v>26</v>
      </c>
      <c r="E58" t="s">
        <v>3</v>
      </c>
      <c r="F58" t="s">
        <v>189</v>
      </c>
      <c r="G58" t="s">
        <v>197</v>
      </c>
      <c r="H58" t="s">
        <v>200</v>
      </c>
      <c r="I58" t="s">
        <v>195</v>
      </c>
      <c r="J58" t="s">
        <v>194</v>
      </c>
      <c r="K58" t="s">
        <v>197</v>
      </c>
      <c r="L58" s="2" t="s">
        <v>228</v>
      </c>
      <c r="M58" t="s">
        <v>248</v>
      </c>
      <c r="N58" t="s">
        <v>241</v>
      </c>
      <c r="O58" t="s">
        <v>239</v>
      </c>
    </row>
    <row r="59" spans="1:15" ht="16" hidden="1" x14ac:dyDescent="0.2">
      <c r="A59" t="s">
        <v>88</v>
      </c>
      <c r="C59" t="s">
        <v>172</v>
      </c>
      <c r="D59" s="5" t="s">
        <v>179</v>
      </c>
      <c r="E59" t="s">
        <v>3</v>
      </c>
      <c r="F59" t="s">
        <v>189</v>
      </c>
      <c r="G59" t="s">
        <v>197</v>
      </c>
      <c r="H59" t="s">
        <v>199</v>
      </c>
      <c r="I59" t="s">
        <v>207</v>
      </c>
      <c r="J59" t="s">
        <v>192</v>
      </c>
      <c r="K59" t="s">
        <v>211</v>
      </c>
      <c r="L59" s="2" t="s">
        <v>229</v>
      </c>
      <c r="M59" s="4" t="s">
        <v>229</v>
      </c>
      <c r="N59" t="s">
        <v>240</v>
      </c>
    </row>
    <row r="60" spans="1:15" ht="16" hidden="1" x14ac:dyDescent="0.2">
      <c r="A60" t="s">
        <v>89</v>
      </c>
      <c r="C60" t="s">
        <v>172</v>
      </c>
      <c r="D60" s="5" t="s">
        <v>179</v>
      </c>
      <c r="E60" t="s">
        <v>3</v>
      </c>
      <c r="F60" t="s">
        <v>189</v>
      </c>
      <c r="G60" t="s">
        <v>197</v>
      </c>
      <c r="H60" t="s">
        <v>200</v>
      </c>
      <c r="I60" t="s">
        <v>197</v>
      </c>
      <c r="J60" t="s">
        <v>207</v>
      </c>
      <c r="K60" t="s">
        <v>205</v>
      </c>
      <c r="L60" s="2" t="s">
        <v>229</v>
      </c>
      <c r="M60" s="4" t="s">
        <v>229</v>
      </c>
      <c r="N60" t="s">
        <v>240</v>
      </c>
    </row>
    <row r="61" spans="1:15" hidden="1" x14ac:dyDescent="0.2">
      <c r="A61" t="s">
        <v>147</v>
      </c>
      <c r="E61" t="s">
        <v>3</v>
      </c>
      <c r="L61" s="2" t="s">
        <v>229</v>
      </c>
      <c r="M61" s="2" t="s">
        <v>229</v>
      </c>
      <c r="N61" t="s">
        <v>240</v>
      </c>
    </row>
    <row r="62" spans="1:15" hidden="1" x14ac:dyDescent="0.2">
      <c r="A62" t="s">
        <v>148</v>
      </c>
      <c r="E62" t="s">
        <v>3</v>
      </c>
      <c r="L62" s="2" t="s">
        <v>229</v>
      </c>
      <c r="M62" s="2" t="s">
        <v>229</v>
      </c>
      <c r="N62" t="s">
        <v>240</v>
      </c>
    </row>
    <row r="63" spans="1:15" hidden="1" x14ac:dyDescent="0.2">
      <c r="A63" t="s">
        <v>149</v>
      </c>
      <c r="E63" t="s">
        <v>3</v>
      </c>
      <c r="L63" s="2" t="s">
        <v>229</v>
      </c>
      <c r="M63" s="2" t="s">
        <v>229</v>
      </c>
      <c r="N63" t="s">
        <v>240</v>
      </c>
    </row>
    <row r="64" spans="1:15" hidden="1" x14ac:dyDescent="0.2">
      <c r="A64" t="s">
        <v>150</v>
      </c>
      <c r="E64" t="s">
        <v>3</v>
      </c>
      <c r="L64" s="2" t="s">
        <v>229</v>
      </c>
      <c r="M64" s="2" t="s">
        <v>229</v>
      </c>
      <c r="N64" t="s">
        <v>240</v>
      </c>
    </row>
    <row r="65" spans="1:15" hidden="1" x14ac:dyDescent="0.2">
      <c r="A65" t="s">
        <v>151</v>
      </c>
      <c r="E65" t="s">
        <v>3</v>
      </c>
      <c r="L65" s="2" t="s">
        <v>229</v>
      </c>
      <c r="M65" s="2" t="s">
        <v>229</v>
      </c>
      <c r="N65" t="s">
        <v>240</v>
      </c>
    </row>
    <row r="66" spans="1:15" hidden="1" x14ac:dyDescent="0.2">
      <c r="A66" t="s">
        <v>90</v>
      </c>
      <c r="E66" t="s">
        <v>3</v>
      </c>
      <c r="L66" s="2" t="s">
        <v>229</v>
      </c>
      <c r="M66" s="2" t="s">
        <v>229</v>
      </c>
      <c r="N66" t="s">
        <v>240</v>
      </c>
    </row>
    <row r="67" spans="1:15" ht="16" hidden="1" x14ac:dyDescent="0.2">
      <c r="A67" t="s">
        <v>91</v>
      </c>
      <c r="C67" t="s">
        <v>173</v>
      </c>
      <c r="D67" s="5" t="s">
        <v>179</v>
      </c>
      <c r="E67" t="s">
        <v>3</v>
      </c>
      <c r="F67" t="s">
        <v>191</v>
      </c>
      <c r="G67" t="s">
        <v>190</v>
      </c>
      <c r="H67" t="s">
        <v>201</v>
      </c>
      <c r="I67" t="s">
        <v>189</v>
      </c>
      <c r="J67" t="s">
        <v>213</v>
      </c>
      <c r="K67" t="s">
        <v>201</v>
      </c>
      <c r="L67" s="2" t="s">
        <v>230</v>
      </c>
      <c r="M67" s="4" t="s">
        <v>230</v>
      </c>
      <c r="N67" t="s">
        <v>240</v>
      </c>
    </row>
    <row r="68" spans="1:15" ht="16" hidden="1" x14ac:dyDescent="0.2">
      <c r="A68" t="s">
        <v>155</v>
      </c>
      <c r="D68" t="s">
        <v>182</v>
      </c>
      <c r="E68" t="s">
        <v>3</v>
      </c>
      <c r="L68" s="2" t="s">
        <v>230</v>
      </c>
      <c r="M68" s="4" t="s">
        <v>230</v>
      </c>
      <c r="N68" t="s">
        <v>240</v>
      </c>
    </row>
    <row r="69" spans="1:15" ht="16" hidden="1" x14ac:dyDescent="0.2">
      <c r="A69" t="s">
        <v>92</v>
      </c>
      <c r="C69" t="s">
        <v>175</v>
      </c>
      <c r="D69" s="5" t="s">
        <v>179</v>
      </c>
      <c r="E69" t="s">
        <v>3</v>
      </c>
      <c r="F69" t="s">
        <v>193</v>
      </c>
      <c r="G69" t="s">
        <v>190</v>
      </c>
      <c r="H69" t="s">
        <v>200</v>
      </c>
      <c r="I69" t="s">
        <v>189</v>
      </c>
      <c r="J69" t="s">
        <v>201</v>
      </c>
      <c r="K69" t="s">
        <v>200</v>
      </c>
      <c r="L69" s="2" t="s">
        <v>230</v>
      </c>
      <c r="M69" s="4" t="s">
        <v>230</v>
      </c>
      <c r="N69" t="s">
        <v>240</v>
      </c>
    </row>
    <row r="70" spans="1:15" ht="16" hidden="1" x14ac:dyDescent="0.2">
      <c r="A70" t="s">
        <v>94</v>
      </c>
      <c r="C70" t="s">
        <v>172</v>
      </c>
      <c r="D70" s="5" t="s">
        <v>179</v>
      </c>
      <c r="E70" t="s">
        <v>3</v>
      </c>
      <c r="F70" t="s">
        <v>190</v>
      </c>
      <c r="G70" t="s">
        <v>190</v>
      </c>
      <c r="H70" t="s">
        <v>204</v>
      </c>
      <c r="I70" t="s">
        <v>189</v>
      </c>
      <c r="J70" t="s">
        <v>200</v>
      </c>
      <c r="K70" t="s">
        <v>200</v>
      </c>
      <c r="L70" s="2" t="s">
        <v>230</v>
      </c>
      <c r="M70" s="4" t="s">
        <v>230</v>
      </c>
      <c r="N70" t="s">
        <v>240</v>
      </c>
    </row>
    <row r="71" spans="1:15" ht="16" hidden="1" x14ac:dyDescent="0.2">
      <c r="A71" t="s">
        <v>95</v>
      </c>
      <c r="C71" t="s">
        <v>173</v>
      </c>
      <c r="D71" s="5" t="s">
        <v>179</v>
      </c>
      <c r="E71" t="s">
        <v>3</v>
      </c>
      <c r="F71" t="s">
        <v>195</v>
      </c>
      <c r="G71" t="s">
        <v>190</v>
      </c>
      <c r="H71" t="s">
        <v>203</v>
      </c>
      <c r="I71" t="s">
        <v>209</v>
      </c>
      <c r="J71" t="s">
        <v>205</v>
      </c>
      <c r="K71" t="s">
        <v>203</v>
      </c>
      <c r="L71" s="2" t="s">
        <v>230</v>
      </c>
      <c r="M71" s="4" t="s">
        <v>230</v>
      </c>
      <c r="N71" t="s">
        <v>240</v>
      </c>
    </row>
    <row r="72" spans="1:15" ht="16" hidden="1" x14ac:dyDescent="0.2">
      <c r="A72" t="s">
        <v>96</v>
      </c>
      <c r="B72" t="s">
        <v>171</v>
      </c>
      <c r="C72" t="s">
        <v>172</v>
      </c>
      <c r="D72" t="s">
        <v>184</v>
      </c>
      <c r="E72" t="s">
        <v>3</v>
      </c>
      <c r="L72" s="2" t="s">
        <v>230</v>
      </c>
      <c r="M72" s="4" t="s">
        <v>230</v>
      </c>
      <c r="N72" t="s">
        <v>240</v>
      </c>
    </row>
    <row r="73" spans="1:15" hidden="1" x14ac:dyDescent="0.2">
      <c r="A73" t="s">
        <v>152</v>
      </c>
      <c r="E73" t="s">
        <v>3</v>
      </c>
      <c r="L73" s="2" t="s">
        <v>230</v>
      </c>
      <c r="M73" s="2" t="s">
        <v>230</v>
      </c>
      <c r="N73" t="s">
        <v>240</v>
      </c>
    </row>
    <row r="74" spans="1:15" hidden="1" x14ac:dyDescent="0.2">
      <c r="A74" t="s">
        <v>154</v>
      </c>
      <c r="E74" t="s">
        <v>3</v>
      </c>
      <c r="L74" s="2" t="s">
        <v>230</v>
      </c>
      <c r="M74" s="2" t="s">
        <v>230</v>
      </c>
      <c r="N74" t="s">
        <v>240</v>
      </c>
    </row>
    <row r="75" spans="1:15" x14ac:dyDescent="0.2">
      <c r="A75" t="s">
        <v>153</v>
      </c>
      <c r="D75" s="5" t="s">
        <v>179</v>
      </c>
      <c r="E75" t="s">
        <v>3</v>
      </c>
      <c r="L75" s="2" t="s">
        <v>230</v>
      </c>
      <c r="M75" t="s">
        <v>244</v>
      </c>
      <c r="N75" t="s">
        <v>241</v>
      </c>
      <c r="O75" t="s">
        <v>243</v>
      </c>
    </row>
    <row r="76" spans="1:15" x14ac:dyDescent="0.2">
      <c r="A76" t="s">
        <v>93</v>
      </c>
      <c r="C76" t="s">
        <v>172</v>
      </c>
      <c r="D76" s="5" t="s">
        <v>179</v>
      </c>
      <c r="E76" t="s">
        <v>3</v>
      </c>
      <c r="F76" t="s">
        <v>189</v>
      </c>
      <c r="G76" t="s">
        <v>197</v>
      </c>
      <c r="H76" t="s">
        <v>203</v>
      </c>
      <c r="I76" t="s">
        <v>197</v>
      </c>
      <c r="J76" t="s">
        <v>203</v>
      </c>
      <c r="K76" t="s">
        <v>205</v>
      </c>
      <c r="L76" s="2" t="s">
        <v>230</v>
      </c>
      <c r="M76" t="s">
        <v>244</v>
      </c>
      <c r="N76" t="s">
        <v>241</v>
      </c>
      <c r="O76" t="s">
        <v>243</v>
      </c>
    </row>
    <row r="77" spans="1:15" ht="16" hidden="1" x14ac:dyDescent="0.2">
      <c r="A77" t="s">
        <v>81</v>
      </c>
      <c r="C77" s="5" t="s">
        <v>174</v>
      </c>
      <c r="D77" s="5" t="s">
        <v>179</v>
      </c>
      <c r="E77" t="s">
        <v>3</v>
      </c>
      <c r="F77" t="s">
        <v>189</v>
      </c>
      <c r="G77" t="s">
        <v>198</v>
      </c>
      <c r="H77" t="s">
        <v>202</v>
      </c>
      <c r="I77" t="s">
        <v>189</v>
      </c>
      <c r="J77" t="s">
        <v>189</v>
      </c>
      <c r="K77" t="s">
        <v>197</v>
      </c>
      <c r="L77" s="2" t="s">
        <v>231</v>
      </c>
      <c r="M77" s="4" t="s">
        <v>231</v>
      </c>
      <c r="N77" t="s">
        <v>240</v>
      </c>
    </row>
    <row r="78" spans="1:15" ht="16" hidden="1" x14ac:dyDescent="0.2">
      <c r="A78" t="s">
        <v>84</v>
      </c>
      <c r="C78" t="s">
        <v>175</v>
      </c>
      <c r="D78" t="s">
        <v>179</v>
      </c>
      <c r="E78" t="s">
        <v>3</v>
      </c>
      <c r="F78" t="s">
        <v>190</v>
      </c>
      <c r="G78" t="s">
        <v>190</v>
      </c>
      <c r="H78" t="s">
        <v>193</v>
      </c>
      <c r="I78" t="s">
        <v>189</v>
      </c>
      <c r="J78" t="s">
        <v>207</v>
      </c>
      <c r="K78" t="s">
        <v>197</v>
      </c>
      <c r="L78" s="2" t="s">
        <v>231</v>
      </c>
      <c r="M78" s="4" t="s">
        <v>231</v>
      </c>
      <c r="N78" t="s">
        <v>240</v>
      </c>
    </row>
    <row r="79" spans="1:15" ht="16" hidden="1" x14ac:dyDescent="0.2">
      <c r="A79" t="s">
        <v>86</v>
      </c>
      <c r="B79" t="s">
        <v>171</v>
      </c>
      <c r="C79" t="s">
        <v>172</v>
      </c>
      <c r="D79" t="s">
        <v>185</v>
      </c>
      <c r="E79" t="s">
        <v>3</v>
      </c>
      <c r="L79" s="2" t="s">
        <v>231</v>
      </c>
      <c r="M79" s="4" t="s">
        <v>231</v>
      </c>
      <c r="N79" t="s">
        <v>240</v>
      </c>
    </row>
    <row r="80" spans="1:15" ht="16" hidden="1" x14ac:dyDescent="0.2">
      <c r="A80" t="s">
        <v>87</v>
      </c>
      <c r="C80" t="s">
        <v>176</v>
      </c>
      <c r="D80" t="s">
        <v>186</v>
      </c>
      <c r="E80" t="s">
        <v>3</v>
      </c>
      <c r="F80" t="s">
        <v>189</v>
      </c>
      <c r="G80" t="s">
        <v>197</v>
      </c>
      <c r="H80" t="s">
        <v>200</v>
      </c>
      <c r="I80" t="s">
        <v>197</v>
      </c>
      <c r="J80" t="s">
        <v>200</v>
      </c>
      <c r="K80" t="s">
        <v>205</v>
      </c>
      <c r="L80" s="2" t="s">
        <v>231</v>
      </c>
      <c r="M80" s="4" t="s">
        <v>231</v>
      </c>
      <c r="N80" t="s">
        <v>240</v>
      </c>
    </row>
    <row r="81" spans="1:15" hidden="1" x14ac:dyDescent="0.2">
      <c r="A81" t="s">
        <v>156</v>
      </c>
      <c r="E81" t="s">
        <v>3</v>
      </c>
      <c r="L81" s="2" t="s">
        <v>231</v>
      </c>
      <c r="M81" s="2" t="s">
        <v>231</v>
      </c>
      <c r="N81" t="s">
        <v>240</v>
      </c>
    </row>
    <row r="82" spans="1:15" hidden="1" x14ac:dyDescent="0.2">
      <c r="A82" t="s">
        <v>157</v>
      </c>
      <c r="E82" t="s">
        <v>3</v>
      </c>
      <c r="L82" s="2" t="s">
        <v>231</v>
      </c>
      <c r="M82" s="2" t="s">
        <v>231</v>
      </c>
      <c r="N82" t="s">
        <v>240</v>
      </c>
    </row>
    <row r="83" spans="1:15" x14ac:dyDescent="0.2">
      <c r="A83" t="s">
        <v>82</v>
      </c>
      <c r="C83" t="s">
        <v>175</v>
      </c>
      <c r="D83" t="s">
        <v>180</v>
      </c>
      <c r="E83" t="s">
        <v>3</v>
      </c>
      <c r="F83" t="s">
        <v>189</v>
      </c>
      <c r="G83" t="s">
        <v>198</v>
      </c>
      <c r="H83" t="s">
        <v>200</v>
      </c>
      <c r="I83" t="s">
        <v>194</v>
      </c>
      <c r="J83" t="s">
        <v>189</v>
      </c>
      <c r="K83" t="s">
        <v>214</v>
      </c>
      <c r="L83" s="2" t="s">
        <v>231</v>
      </c>
      <c r="M83" t="s">
        <v>245</v>
      </c>
      <c r="N83" t="s">
        <v>241</v>
      </c>
      <c r="O83" t="s">
        <v>243</v>
      </c>
    </row>
    <row r="84" spans="1:15" x14ac:dyDescent="0.2">
      <c r="A84" t="s">
        <v>83</v>
      </c>
      <c r="C84" s="6"/>
      <c r="D84" t="s">
        <v>179</v>
      </c>
      <c r="E84" t="s">
        <v>3</v>
      </c>
      <c r="L84" s="2" t="s">
        <v>231</v>
      </c>
      <c r="M84" t="s">
        <v>245</v>
      </c>
      <c r="N84" t="s">
        <v>241</v>
      </c>
      <c r="O84" t="s">
        <v>243</v>
      </c>
    </row>
    <row r="85" spans="1:15" x14ac:dyDescent="0.2">
      <c r="A85" t="s">
        <v>85</v>
      </c>
      <c r="B85" t="s">
        <v>171</v>
      </c>
      <c r="C85" t="s">
        <v>172</v>
      </c>
      <c r="D85" t="s">
        <v>179</v>
      </c>
      <c r="E85" t="s">
        <v>3</v>
      </c>
      <c r="L85" s="2" t="s">
        <v>231</v>
      </c>
      <c r="M85" t="s">
        <v>245</v>
      </c>
      <c r="N85" t="s">
        <v>241</v>
      </c>
      <c r="O85" t="s">
        <v>243</v>
      </c>
    </row>
    <row r="86" spans="1:15" ht="16" hidden="1" x14ac:dyDescent="0.2">
      <c r="A86" t="s">
        <v>72</v>
      </c>
      <c r="B86" t="s">
        <v>168</v>
      </c>
      <c r="E86" t="s">
        <v>3</v>
      </c>
      <c r="F86" t="s">
        <v>189</v>
      </c>
      <c r="G86" t="s">
        <v>191</v>
      </c>
      <c r="H86" t="s">
        <v>201</v>
      </c>
      <c r="I86" t="s">
        <v>189</v>
      </c>
      <c r="J86" t="s">
        <v>203</v>
      </c>
      <c r="K86" t="s">
        <v>200</v>
      </c>
      <c r="L86" s="2" t="s">
        <v>232</v>
      </c>
      <c r="M86" s="4" t="s">
        <v>232</v>
      </c>
      <c r="N86" t="s">
        <v>240</v>
      </c>
    </row>
    <row r="87" spans="1:15" ht="16" hidden="1" x14ac:dyDescent="0.2">
      <c r="A87" t="s">
        <v>74</v>
      </c>
      <c r="B87" t="s">
        <v>164</v>
      </c>
      <c r="C87" t="s">
        <v>176</v>
      </c>
      <c r="D87" t="s">
        <v>184</v>
      </c>
      <c r="E87" t="s">
        <v>3</v>
      </c>
      <c r="L87" s="2" t="s">
        <v>232</v>
      </c>
      <c r="M87" s="4" t="s">
        <v>232</v>
      </c>
      <c r="N87" t="s">
        <v>240</v>
      </c>
    </row>
    <row r="88" spans="1:15" ht="16" hidden="1" x14ac:dyDescent="0.2">
      <c r="A88" t="s">
        <v>76</v>
      </c>
      <c r="B88" t="s">
        <v>164</v>
      </c>
      <c r="C88" t="s">
        <v>175</v>
      </c>
      <c r="D88" t="s">
        <v>179</v>
      </c>
      <c r="E88" t="s">
        <v>3</v>
      </c>
      <c r="L88" s="2" t="s">
        <v>232</v>
      </c>
      <c r="M88" s="4" t="s">
        <v>232</v>
      </c>
      <c r="N88" t="s">
        <v>240</v>
      </c>
    </row>
    <row r="89" spans="1:15" ht="16" hidden="1" x14ac:dyDescent="0.2">
      <c r="A89" t="s">
        <v>77</v>
      </c>
      <c r="B89" t="s">
        <v>164</v>
      </c>
      <c r="E89" t="s">
        <v>3</v>
      </c>
      <c r="F89" t="s">
        <v>189</v>
      </c>
      <c r="G89" t="s">
        <v>197</v>
      </c>
      <c r="H89" t="s">
        <v>205</v>
      </c>
      <c r="I89" t="s">
        <v>197</v>
      </c>
      <c r="J89" t="s">
        <v>207</v>
      </c>
      <c r="K89" t="s">
        <v>197</v>
      </c>
      <c r="L89" s="2" t="s">
        <v>232</v>
      </c>
      <c r="M89" s="4" t="s">
        <v>232</v>
      </c>
      <c r="N89" t="s">
        <v>240</v>
      </c>
    </row>
    <row r="90" spans="1:15" ht="16" hidden="1" x14ac:dyDescent="0.2">
      <c r="A90" t="s">
        <v>78</v>
      </c>
      <c r="B90" t="s">
        <v>164</v>
      </c>
      <c r="E90" t="s">
        <v>3</v>
      </c>
      <c r="F90" t="s">
        <v>196</v>
      </c>
      <c r="G90" t="s">
        <v>190</v>
      </c>
      <c r="H90" t="s">
        <v>203</v>
      </c>
      <c r="I90" t="s">
        <v>189</v>
      </c>
      <c r="J90" t="s">
        <v>189</v>
      </c>
      <c r="K90" t="s">
        <v>197</v>
      </c>
      <c r="L90" s="2" t="s">
        <v>232</v>
      </c>
      <c r="M90" s="4" t="s">
        <v>232</v>
      </c>
      <c r="N90" t="s">
        <v>240</v>
      </c>
    </row>
    <row r="91" spans="1:15" ht="16" hidden="1" x14ac:dyDescent="0.2">
      <c r="A91" t="s">
        <v>79</v>
      </c>
      <c r="B91" t="s">
        <v>164</v>
      </c>
      <c r="C91" t="s">
        <v>176</v>
      </c>
      <c r="D91" t="s">
        <v>179</v>
      </c>
      <c r="E91" t="s">
        <v>3</v>
      </c>
      <c r="L91" s="2" t="s">
        <v>232</v>
      </c>
      <c r="M91" s="4" t="s">
        <v>232</v>
      </c>
      <c r="N91" t="s">
        <v>240</v>
      </c>
    </row>
    <row r="92" spans="1:15" ht="16" hidden="1" x14ac:dyDescent="0.2">
      <c r="A92" t="s">
        <v>80</v>
      </c>
      <c r="B92" t="s">
        <v>164</v>
      </c>
      <c r="E92" t="s">
        <v>3</v>
      </c>
      <c r="F92" t="s">
        <v>189</v>
      </c>
      <c r="G92" t="s">
        <v>197</v>
      </c>
      <c r="H92" t="s">
        <v>200</v>
      </c>
      <c r="I92" t="s">
        <v>192</v>
      </c>
      <c r="J92" t="s">
        <v>189</v>
      </c>
      <c r="K92" t="s">
        <v>200</v>
      </c>
      <c r="L92" s="2" t="s">
        <v>232</v>
      </c>
      <c r="M92" s="4" t="s">
        <v>232</v>
      </c>
      <c r="N92" t="s">
        <v>240</v>
      </c>
    </row>
    <row r="93" spans="1:15" hidden="1" x14ac:dyDescent="0.2">
      <c r="A93" t="s">
        <v>52</v>
      </c>
      <c r="E93" t="s">
        <v>3</v>
      </c>
      <c r="L93" s="2" t="s">
        <v>232</v>
      </c>
      <c r="M93" s="2" t="s">
        <v>232</v>
      </c>
      <c r="N93" t="s">
        <v>240</v>
      </c>
    </row>
    <row r="94" spans="1:15" hidden="1" x14ac:dyDescent="0.2">
      <c r="A94" t="s">
        <v>53</v>
      </c>
      <c r="E94" t="s">
        <v>3</v>
      </c>
      <c r="L94" s="2" t="s">
        <v>232</v>
      </c>
      <c r="M94" s="2" t="s">
        <v>232</v>
      </c>
      <c r="N94" t="s">
        <v>240</v>
      </c>
    </row>
    <row r="95" spans="1:15" hidden="1" x14ac:dyDescent="0.2">
      <c r="A95" t="s">
        <v>55</v>
      </c>
      <c r="E95" t="s">
        <v>3</v>
      </c>
      <c r="L95" s="2" t="s">
        <v>232</v>
      </c>
      <c r="M95" s="2" t="s">
        <v>232</v>
      </c>
      <c r="N95" t="s">
        <v>240</v>
      </c>
    </row>
    <row r="96" spans="1:15" hidden="1" x14ac:dyDescent="0.2">
      <c r="A96" t="s">
        <v>73</v>
      </c>
      <c r="E96" t="s">
        <v>3</v>
      </c>
      <c r="L96" s="2" t="s">
        <v>232</v>
      </c>
      <c r="M96" s="2" t="s">
        <v>232</v>
      </c>
      <c r="N96" t="s">
        <v>240</v>
      </c>
    </row>
    <row r="97" spans="1:15" hidden="1" x14ac:dyDescent="0.2">
      <c r="A97" t="s">
        <v>56</v>
      </c>
      <c r="E97" t="s">
        <v>3</v>
      </c>
      <c r="L97" s="2" t="s">
        <v>232</v>
      </c>
      <c r="M97" s="2" t="s">
        <v>232</v>
      </c>
      <c r="N97" t="s">
        <v>240</v>
      </c>
    </row>
    <row r="98" spans="1:15" hidden="1" x14ac:dyDescent="0.2">
      <c r="A98" t="s">
        <v>57</v>
      </c>
      <c r="E98" t="s">
        <v>3</v>
      </c>
      <c r="L98" s="2" t="s">
        <v>232</v>
      </c>
      <c r="M98" s="2" t="s">
        <v>232</v>
      </c>
      <c r="N98" t="s">
        <v>240</v>
      </c>
    </row>
    <row r="99" spans="1:15" hidden="1" x14ac:dyDescent="0.2">
      <c r="A99" t="s">
        <v>58</v>
      </c>
      <c r="E99" t="s">
        <v>3</v>
      </c>
      <c r="L99" s="2" t="s">
        <v>232</v>
      </c>
      <c r="M99" s="2" t="s">
        <v>232</v>
      </c>
      <c r="N99" t="s">
        <v>240</v>
      </c>
    </row>
    <row r="100" spans="1:15" hidden="1" x14ac:dyDescent="0.2">
      <c r="A100" t="s">
        <v>75</v>
      </c>
      <c r="E100" t="s">
        <v>3</v>
      </c>
      <c r="L100" s="2" t="s">
        <v>232</v>
      </c>
      <c r="M100" s="2" t="s">
        <v>232</v>
      </c>
      <c r="N100" t="s">
        <v>240</v>
      </c>
    </row>
    <row r="101" spans="1:15" hidden="1" x14ac:dyDescent="0.2">
      <c r="A101" t="s">
        <v>59</v>
      </c>
      <c r="E101" t="s">
        <v>3</v>
      </c>
      <c r="L101" s="2" t="s">
        <v>232</v>
      </c>
      <c r="M101" s="2" t="s">
        <v>232</v>
      </c>
      <c r="N101" t="s">
        <v>240</v>
      </c>
    </row>
    <row r="102" spans="1:15" hidden="1" x14ac:dyDescent="0.2">
      <c r="A102" t="s">
        <v>60</v>
      </c>
      <c r="E102" t="s">
        <v>3</v>
      </c>
      <c r="L102" s="2" t="s">
        <v>232</v>
      </c>
      <c r="M102" s="2" t="s">
        <v>232</v>
      </c>
      <c r="N102" t="s">
        <v>240</v>
      </c>
    </row>
    <row r="103" spans="1:15" x14ac:dyDescent="0.2">
      <c r="A103" t="s">
        <v>54</v>
      </c>
      <c r="B103" s="21" t="s">
        <v>171</v>
      </c>
      <c r="E103" t="s">
        <v>3</v>
      </c>
      <c r="L103" s="2" t="s">
        <v>232</v>
      </c>
      <c r="M103" t="s">
        <v>246</v>
      </c>
      <c r="N103" t="s">
        <v>241</v>
      </c>
      <c r="O103" s="19" t="s">
        <v>165</v>
      </c>
    </row>
    <row r="104" spans="1:15" ht="16" hidden="1" x14ac:dyDescent="0.2">
      <c r="A104" t="s">
        <v>38</v>
      </c>
      <c r="B104" t="s">
        <v>171</v>
      </c>
      <c r="E104" t="s">
        <v>3</v>
      </c>
      <c r="L104" s="2" t="s">
        <v>165</v>
      </c>
      <c r="M104" s="4" t="s">
        <v>165</v>
      </c>
      <c r="N104" t="s">
        <v>240</v>
      </c>
    </row>
    <row r="105" spans="1:15" ht="16" hidden="1" x14ac:dyDescent="0.2">
      <c r="A105" t="s">
        <v>69</v>
      </c>
      <c r="B105" t="s">
        <v>171</v>
      </c>
      <c r="C105" t="s">
        <v>172</v>
      </c>
      <c r="D105" t="s">
        <v>179</v>
      </c>
      <c r="E105" t="s">
        <v>3</v>
      </c>
      <c r="L105" s="2" t="s">
        <v>165</v>
      </c>
      <c r="M105" s="4" t="s">
        <v>165</v>
      </c>
      <c r="N105" t="s">
        <v>240</v>
      </c>
    </row>
    <row r="106" spans="1:15" hidden="1" x14ac:dyDescent="0.2">
      <c r="A106" t="s">
        <v>34</v>
      </c>
      <c r="E106" t="s">
        <v>3</v>
      </c>
      <c r="L106" s="2" t="s">
        <v>165</v>
      </c>
      <c r="M106" s="2" t="s">
        <v>165</v>
      </c>
      <c r="N106" t="s">
        <v>240</v>
      </c>
    </row>
    <row r="107" spans="1:15" hidden="1" x14ac:dyDescent="0.2">
      <c r="A107" t="s">
        <v>37</v>
      </c>
      <c r="E107" t="s">
        <v>3</v>
      </c>
      <c r="L107" s="2" t="s">
        <v>165</v>
      </c>
      <c r="M107" s="2" t="s">
        <v>165</v>
      </c>
      <c r="N107" t="s">
        <v>240</v>
      </c>
    </row>
    <row r="108" spans="1:15" hidden="1" x14ac:dyDescent="0.2">
      <c r="A108" t="s">
        <v>39</v>
      </c>
      <c r="E108" t="s">
        <v>3</v>
      </c>
      <c r="L108" s="2" t="s">
        <v>165</v>
      </c>
      <c r="M108" s="2" t="s">
        <v>165</v>
      </c>
      <c r="N108" t="s">
        <v>240</v>
      </c>
    </row>
    <row r="109" spans="1:15" hidden="1" x14ac:dyDescent="0.2">
      <c r="A109" t="s">
        <v>40</v>
      </c>
      <c r="E109" t="s">
        <v>3</v>
      </c>
      <c r="L109" s="2" t="s">
        <v>165</v>
      </c>
      <c r="M109" s="2" t="s">
        <v>165</v>
      </c>
      <c r="N109" t="s">
        <v>240</v>
      </c>
    </row>
    <row r="110" spans="1:15" hidden="1" x14ac:dyDescent="0.2">
      <c r="A110" t="s">
        <v>41</v>
      </c>
      <c r="E110" t="s">
        <v>3</v>
      </c>
      <c r="L110" s="2" t="s">
        <v>165</v>
      </c>
      <c r="M110" s="2" t="s">
        <v>165</v>
      </c>
      <c r="N110" t="s">
        <v>240</v>
      </c>
    </row>
    <row r="111" spans="1:15" hidden="1" x14ac:dyDescent="0.2">
      <c r="A111" t="s">
        <v>42</v>
      </c>
      <c r="E111" t="s">
        <v>3</v>
      </c>
      <c r="L111" s="2" t="s">
        <v>165</v>
      </c>
      <c r="M111" s="2" t="s">
        <v>165</v>
      </c>
      <c r="N111" t="s">
        <v>240</v>
      </c>
    </row>
    <row r="112" spans="1:15" hidden="1" x14ac:dyDescent="0.2">
      <c r="A112" t="s">
        <v>70</v>
      </c>
      <c r="E112" t="s">
        <v>3</v>
      </c>
      <c r="L112" s="2" t="s">
        <v>165</v>
      </c>
      <c r="M112" s="2" t="s">
        <v>165</v>
      </c>
      <c r="N112" t="s">
        <v>240</v>
      </c>
    </row>
    <row r="113" spans="1:15" hidden="1" x14ac:dyDescent="0.2">
      <c r="A113" t="s">
        <v>43</v>
      </c>
      <c r="E113" t="s">
        <v>3</v>
      </c>
      <c r="L113" s="2" t="s">
        <v>165</v>
      </c>
      <c r="M113" s="2" t="s">
        <v>165</v>
      </c>
      <c r="N113" t="s">
        <v>240</v>
      </c>
    </row>
    <row r="114" spans="1:15" hidden="1" x14ac:dyDescent="0.2">
      <c r="A114" t="s">
        <v>44</v>
      </c>
      <c r="E114" t="s">
        <v>3</v>
      </c>
      <c r="L114" s="2" t="s">
        <v>165</v>
      </c>
      <c r="M114" s="2" t="s">
        <v>165</v>
      </c>
      <c r="N114" t="s">
        <v>240</v>
      </c>
    </row>
    <row r="115" spans="1:15" hidden="1" x14ac:dyDescent="0.2">
      <c r="A115" t="s">
        <v>45</v>
      </c>
      <c r="E115" t="s">
        <v>3</v>
      </c>
      <c r="L115" s="2" t="s">
        <v>165</v>
      </c>
      <c r="M115" s="2" t="s">
        <v>165</v>
      </c>
      <c r="N115" t="s">
        <v>240</v>
      </c>
    </row>
    <row r="116" spans="1:15" hidden="1" x14ac:dyDescent="0.2">
      <c r="A116" t="s">
        <v>46</v>
      </c>
      <c r="E116" t="s">
        <v>3</v>
      </c>
      <c r="L116" s="2" t="s">
        <v>165</v>
      </c>
      <c r="M116" s="2" t="s">
        <v>165</v>
      </c>
      <c r="N116" t="s">
        <v>240</v>
      </c>
    </row>
    <row r="117" spans="1:15" hidden="1" x14ac:dyDescent="0.2">
      <c r="A117" t="s">
        <v>71</v>
      </c>
      <c r="E117" t="s">
        <v>3</v>
      </c>
      <c r="L117" s="2" t="s">
        <v>165</v>
      </c>
      <c r="M117" s="2" t="s">
        <v>165</v>
      </c>
      <c r="N117" t="s">
        <v>240</v>
      </c>
    </row>
    <row r="118" spans="1:15" hidden="1" x14ac:dyDescent="0.2">
      <c r="A118" t="s">
        <v>47</v>
      </c>
      <c r="E118" t="s">
        <v>3</v>
      </c>
      <c r="L118" s="2" t="s">
        <v>165</v>
      </c>
      <c r="M118" s="2" t="s">
        <v>165</v>
      </c>
      <c r="N118" t="s">
        <v>240</v>
      </c>
    </row>
    <row r="119" spans="1:15" hidden="1" x14ac:dyDescent="0.2">
      <c r="A119" t="s">
        <v>48</v>
      </c>
      <c r="E119" t="s">
        <v>3</v>
      </c>
      <c r="L119" s="2" t="s">
        <v>165</v>
      </c>
      <c r="M119" s="2" t="s">
        <v>165</v>
      </c>
      <c r="N119" t="s">
        <v>240</v>
      </c>
    </row>
    <row r="120" spans="1:15" hidden="1" x14ac:dyDescent="0.2">
      <c r="A120" t="s">
        <v>49</v>
      </c>
      <c r="E120" t="s">
        <v>3</v>
      </c>
      <c r="L120" s="2" t="s">
        <v>165</v>
      </c>
      <c r="M120" s="2" t="s">
        <v>165</v>
      </c>
      <c r="N120" t="s">
        <v>240</v>
      </c>
    </row>
    <row r="121" spans="1:15" hidden="1" x14ac:dyDescent="0.2">
      <c r="A121" t="s">
        <v>50</v>
      </c>
      <c r="E121" t="s">
        <v>3</v>
      </c>
      <c r="L121" s="2" t="s">
        <v>165</v>
      </c>
      <c r="M121" s="2" t="s">
        <v>165</v>
      </c>
      <c r="N121" t="s">
        <v>240</v>
      </c>
    </row>
    <row r="122" spans="1:15" hidden="1" x14ac:dyDescent="0.2">
      <c r="A122" t="s">
        <v>51</v>
      </c>
      <c r="E122" t="s">
        <v>3</v>
      </c>
      <c r="L122" s="2" t="s">
        <v>165</v>
      </c>
      <c r="M122" s="2" t="s">
        <v>165</v>
      </c>
      <c r="N122" t="s">
        <v>240</v>
      </c>
    </row>
    <row r="123" spans="1:15" ht="16" x14ac:dyDescent="0.2">
      <c r="A123" t="s">
        <v>67</v>
      </c>
      <c r="B123" s="22">
        <v>0.5</v>
      </c>
      <c r="E123" t="s">
        <v>3</v>
      </c>
      <c r="F123" t="s">
        <v>189</v>
      </c>
      <c r="G123" t="s">
        <v>197</v>
      </c>
      <c r="H123" t="s">
        <v>200</v>
      </c>
      <c r="I123" t="s">
        <v>206</v>
      </c>
      <c r="J123" t="s">
        <v>189</v>
      </c>
      <c r="K123" t="s">
        <v>197</v>
      </c>
      <c r="L123" s="2" t="s">
        <v>165</v>
      </c>
      <c r="M123" s="7" t="s">
        <v>247</v>
      </c>
      <c r="N123" t="s">
        <v>241</v>
      </c>
      <c r="O123" s="19" t="s">
        <v>232</v>
      </c>
    </row>
    <row r="124" spans="1:15" ht="16" x14ac:dyDescent="0.2">
      <c r="A124" t="s">
        <v>36</v>
      </c>
      <c r="B124" t="s">
        <v>170</v>
      </c>
      <c r="E124" t="s">
        <v>3</v>
      </c>
      <c r="L124" s="2" t="s">
        <v>165</v>
      </c>
      <c r="M124" s="7" t="s">
        <v>247</v>
      </c>
      <c r="N124" t="s">
        <v>241</v>
      </c>
      <c r="O124" t="s">
        <v>232</v>
      </c>
    </row>
    <row r="135" spans="1:2" x14ac:dyDescent="0.2">
      <c r="A135" t="s">
        <v>22</v>
      </c>
      <c r="B135" t="s">
        <v>189</v>
      </c>
    </row>
    <row r="136" spans="1:2" x14ac:dyDescent="0.2">
      <c r="A136" t="s">
        <v>30</v>
      </c>
      <c r="B136" t="s">
        <v>200</v>
      </c>
    </row>
    <row r="137" spans="1:2" x14ac:dyDescent="0.2">
      <c r="A137" t="s">
        <v>25</v>
      </c>
      <c r="B137" t="s">
        <v>202</v>
      </c>
    </row>
    <row r="138" spans="1:2" x14ac:dyDescent="0.2">
      <c r="A138" t="s">
        <v>26</v>
      </c>
      <c r="B138" t="s">
        <v>194</v>
      </c>
    </row>
    <row r="139" spans="1:2" x14ac:dyDescent="0.2">
      <c r="A139" t="s">
        <v>27</v>
      </c>
      <c r="B139" t="s">
        <v>200</v>
      </c>
    </row>
    <row r="140" spans="1:2" x14ac:dyDescent="0.2">
      <c r="A140" t="s">
        <v>106</v>
      </c>
      <c r="B140" t="s">
        <v>200</v>
      </c>
    </row>
    <row r="141" spans="1:2" x14ac:dyDescent="0.2">
      <c r="A141" t="s">
        <v>107</v>
      </c>
      <c r="B141" t="s">
        <v>200</v>
      </c>
    </row>
    <row r="142" spans="1:2" x14ac:dyDescent="0.2">
      <c r="A142" t="s">
        <v>108</v>
      </c>
      <c r="B142" t="s">
        <v>201</v>
      </c>
    </row>
    <row r="143" spans="1:2" x14ac:dyDescent="0.2">
      <c r="A143" t="s">
        <v>109</v>
      </c>
      <c r="B143" t="s">
        <v>200</v>
      </c>
    </row>
    <row r="144" spans="1:2" x14ac:dyDescent="0.2">
      <c r="A144" t="s">
        <v>110</v>
      </c>
      <c r="B144" t="s">
        <v>200</v>
      </c>
    </row>
    <row r="145" spans="1:2" x14ac:dyDescent="0.2">
      <c r="A145" t="s">
        <v>111</v>
      </c>
      <c r="B145" t="s">
        <v>200</v>
      </c>
    </row>
    <row r="146" spans="1:2" x14ac:dyDescent="0.2">
      <c r="A146" t="s">
        <v>112</v>
      </c>
      <c r="B146" t="s">
        <v>203</v>
      </c>
    </row>
    <row r="147" spans="1:2" x14ac:dyDescent="0.2">
      <c r="A147" t="s">
        <v>113</v>
      </c>
      <c r="B147" t="s">
        <v>194</v>
      </c>
    </row>
    <row r="148" spans="1:2" x14ac:dyDescent="0.2">
      <c r="A148" t="s">
        <v>115</v>
      </c>
      <c r="B148" t="s">
        <v>189</v>
      </c>
    </row>
    <row r="149" spans="1:2" x14ac:dyDescent="0.2">
      <c r="A149" t="s">
        <v>116</v>
      </c>
      <c r="B149" t="s">
        <v>201</v>
      </c>
    </row>
    <row r="150" spans="1:2" x14ac:dyDescent="0.2">
      <c r="A150" t="s">
        <v>117</v>
      </c>
      <c r="B150" t="s">
        <v>200</v>
      </c>
    </row>
    <row r="151" spans="1:2" x14ac:dyDescent="0.2">
      <c r="A151" t="s">
        <v>118</v>
      </c>
      <c r="B151" t="s">
        <v>207</v>
      </c>
    </row>
    <row r="152" spans="1:2" x14ac:dyDescent="0.2">
      <c r="A152" t="s">
        <v>120</v>
      </c>
      <c r="B152" t="s">
        <v>189</v>
      </c>
    </row>
    <row r="153" spans="1:2" x14ac:dyDescent="0.2">
      <c r="A153" t="s">
        <v>123</v>
      </c>
      <c r="B153" t="s">
        <v>189</v>
      </c>
    </row>
    <row r="154" spans="1:2" x14ac:dyDescent="0.2">
      <c r="A154" t="s">
        <v>124</v>
      </c>
      <c r="B154" t="s">
        <v>194</v>
      </c>
    </row>
    <row r="155" spans="1:2" x14ac:dyDescent="0.2">
      <c r="A155" t="s">
        <v>126</v>
      </c>
      <c r="B155" t="s">
        <v>200</v>
      </c>
    </row>
    <row r="156" spans="1:2" x14ac:dyDescent="0.2">
      <c r="A156" t="s">
        <v>127</v>
      </c>
      <c r="B156" t="s">
        <v>213</v>
      </c>
    </row>
    <row r="157" spans="1:2" x14ac:dyDescent="0.2">
      <c r="A157" t="s">
        <v>128</v>
      </c>
      <c r="B157" t="s">
        <v>200</v>
      </c>
    </row>
    <row r="158" spans="1:2" x14ac:dyDescent="0.2">
      <c r="A158" t="s">
        <v>88</v>
      </c>
      <c r="B158" t="s">
        <v>192</v>
      </c>
    </row>
    <row r="159" spans="1:2" x14ac:dyDescent="0.2">
      <c r="A159" t="s">
        <v>89</v>
      </c>
      <c r="B159" t="s">
        <v>207</v>
      </c>
    </row>
    <row r="160" spans="1:2" x14ac:dyDescent="0.2">
      <c r="A160" t="s">
        <v>91</v>
      </c>
      <c r="B160" t="s">
        <v>213</v>
      </c>
    </row>
    <row r="161" spans="1:2" x14ac:dyDescent="0.2">
      <c r="A161" t="s">
        <v>92</v>
      </c>
      <c r="B161" t="s">
        <v>201</v>
      </c>
    </row>
    <row r="162" spans="1:2" x14ac:dyDescent="0.2">
      <c r="A162" t="s">
        <v>93</v>
      </c>
      <c r="B162" t="s">
        <v>203</v>
      </c>
    </row>
    <row r="163" spans="1:2" x14ac:dyDescent="0.2">
      <c r="A163" t="s">
        <v>94</v>
      </c>
      <c r="B163" t="s">
        <v>200</v>
      </c>
    </row>
    <row r="164" spans="1:2" x14ac:dyDescent="0.2">
      <c r="A164" t="s">
        <v>95</v>
      </c>
      <c r="B164" t="s">
        <v>205</v>
      </c>
    </row>
    <row r="165" spans="1:2" x14ac:dyDescent="0.2">
      <c r="A165" t="s">
        <v>81</v>
      </c>
      <c r="B165" t="s">
        <v>189</v>
      </c>
    </row>
    <row r="166" spans="1:2" x14ac:dyDescent="0.2">
      <c r="A166" t="s">
        <v>82</v>
      </c>
      <c r="B166" t="s">
        <v>189</v>
      </c>
    </row>
    <row r="167" spans="1:2" x14ac:dyDescent="0.2">
      <c r="A167" t="s">
        <v>84</v>
      </c>
      <c r="B167" t="s">
        <v>207</v>
      </c>
    </row>
    <row r="168" spans="1:2" x14ac:dyDescent="0.2">
      <c r="A168" t="s">
        <v>87</v>
      </c>
      <c r="B168" t="s">
        <v>200</v>
      </c>
    </row>
    <row r="169" spans="1:2" x14ac:dyDescent="0.2">
      <c r="A169" t="s">
        <v>72</v>
      </c>
      <c r="B169" t="s">
        <v>203</v>
      </c>
    </row>
    <row r="170" spans="1:2" x14ac:dyDescent="0.2">
      <c r="A170" t="s">
        <v>77</v>
      </c>
      <c r="B170" t="s">
        <v>207</v>
      </c>
    </row>
    <row r="171" spans="1:2" x14ac:dyDescent="0.2">
      <c r="A171" t="s">
        <v>78</v>
      </c>
      <c r="B171" t="s">
        <v>189</v>
      </c>
    </row>
    <row r="172" spans="1:2" x14ac:dyDescent="0.2">
      <c r="A172" t="s">
        <v>80</v>
      </c>
      <c r="B172" t="s">
        <v>189</v>
      </c>
    </row>
    <row r="173" spans="1:2" x14ac:dyDescent="0.2">
      <c r="A173" t="s">
        <v>67</v>
      </c>
      <c r="B173" t="s">
        <v>189</v>
      </c>
    </row>
  </sheetData>
  <autoFilter ref="A1:O124" xr:uid="{00000000-0001-0000-0200-000000000000}">
    <filterColumn colId="13">
      <filters>
        <filter val="Drop"/>
      </filters>
    </filterColumn>
    <sortState xmlns:xlrd2="http://schemas.microsoft.com/office/spreadsheetml/2017/richdata2" ref="A2:O124">
      <sortCondition ref="L1:L124"/>
    </sortState>
  </autoFilter>
  <sortState xmlns:xlrd2="http://schemas.microsoft.com/office/spreadsheetml/2017/richdata2" ref="A135:B173">
    <sortCondition ref="A135"/>
  </sortState>
  <phoneticPr fontId="4" type="noConversion"/>
  <conditionalFormatting sqref="B426:B457">
    <cfRule type="duplicateValues" dxfId="2" priority="9"/>
  </conditionalFormatting>
  <conditionalFormatting sqref="G4:G17 G19:G20 G22 G24:G29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17D3-00E7-4D47-8317-759FBD4B2245}">
  <dimension ref="A1:K22"/>
  <sheetViews>
    <sheetView workbookViewId="0">
      <selection sqref="A1:K22"/>
    </sheetView>
  </sheetViews>
  <sheetFormatPr baseColWidth="10" defaultRowHeight="15" x14ac:dyDescent="0.2"/>
  <cols>
    <col min="1" max="1" width="11.6640625" bestFit="1" customWidth="1"/>
    <col min="3" max="3" width="16.6640625" bestFit="1" customWidth="1"/>
    <col min="4" max="4" width="14.1640625" bestFit="1" customWidth="1"/>
    <col min="5" max="5" width="27.83203125" bestFit="1" customWidth="1"/>
    <col min="10" max="10" width="14.1640625" bestFit="1" customWidth="1"/>
    <col min="11" max="11" width="39.5" bestFit="1" customWidth="1"/>
  </cols>
  <sheetData>
    <row r="1" spans="1:11" x14ac:dyDescent="0.2">
      <c r="A1" s="20" t="s">
        <v>262</v>
      </c>
      <c r="B1" s="9" t="s">
        <v>240</v>
      </c>
      <c r="C1" s="9" t="s">
        <v>241</v>
      </c>
      <c r="D1" s="9" t="s">
        <v>249</v>
      </c>
      <c r="E1" s="16"/>
      <c r="G1" s="15" t="s">
        <v>261</v>
      </c>
      <c r="H1" s="9" t="s">
        <v>240</v>
      </c>
      <c r="I1" s="9" t="s">
        <v>241</v>
      </c>
      <c r="J1" s="9" t="s">
        <v>249</v>
      </c>
    </row>
    <row r="2" spans="1:11" x14ac:dyDescent="0.2">
      <c r="A2" s="10" t="s">
        <v>164</v>
      </c>
      <c r="B2" s="11">
        <v>17</v>
      </c>
      <c r="C2" s="11">
        <v>1</v>
      </c>
      <c r="D2" s="11">
        <v>18</v>
      </c>
      <c r="G2" s="10" t="s">
        <v>164</v>
      </c>
      <c r="H2" s="11">
        <v>8</v>
      </c>
      <c r="I2" s="11">
        <v>0</v>
      </c>
      <c r="J2" s="11">
        <f>H2+I2</f>
        <v>8</v>
      </c>
    </row>
    <row r="3" spans="1:11" x14ac:dyDescent="0.2">
      <c r="A3" s="10" t="s">
        <v>250</v>
      </c>
      <c r="B3" s="11">
        <v>19</v>
      </c>
      <c r="C3" s="11">
        <v>2</v>
      </c>
      <c r="D3" s="11">
        <v>21</v>
      </c>
      <c r="G3" s="10" t="s">
        <v>250</v>
      </c>
      <c r="H3" s="11">
        <v>10</v>
      </c>
      <c r="I3" s="11">
        <v>0</v>
      </c>
      <c r="J3" s="11">
        <v>10</v>
      </c>
    </row>
    <row r="4" spans="1:11" x14ac:dyDescent="0.2">
      <c r="A4" s="10" t="s">
        <v>251</v>
      </c>
      <c r="B4" s="11">
        <v>6</v>
      </c>
      <c r="C4" s="11">
        <v>3</v>
      </c>
      <c r="D4" s="11">
        <v>9</v>
      </c>
      <c r="G4" s="10" t="s">
        <v>251</v>
      </c>
      <c r="H4" s="11">
        <v>9</v>
      </c>
      <c r="I4" s="11">
        <v>0</v>
      </c>
      <c r="J4" s="11">
        <f t="shared" ref="J4:J10" si="0">H4+I4</f>
        <v>9</v>
      </c>
    </row>
    <row r="5" spans="1:11" x14ac:dyDescent="0.2">
      <c r="A5" s="10" t="s">
        <v>252</v>
      </c>
      <c r="B5" s="11">
        <v>8</v>
      </c>
      <c r="C5" s="11">
        <v>0</v>
      </c>
      <c r="D5" s="11">
        <v>8</v>
      </c>
      <c r="G5" s="10" t="s">
        <v>252</v>
      </c>
      <c r="H5" s="11">
        <v>3</v>
      </c>
      <c r="I5" s="11">
        <v>2</v>
      </c>
      <c r="J5" s="11">
        <f t="shared" si="0"/>
        <v>5</v>
      </c>
    </row>
    <row r="6" spans="1:11" x14ac:dyDescent="0.2">
      <c r="A6" s="10" t="s">
        <v>253</v>
      </c>
      <c r="B6" s="11">
        <v>8</v>
      </c>
      <c r="C6" s="11">
        <v>2</v>
      </c>
      <c r="D6" s="11">
        <v>10</v>
      </c>
      <c r="G6" s="10" t="s">
        <v>253</v>
      </c>
      <c r="H6" s="11">
        <v>7</v>
      </c>
      <c r="I6" s="11">
        <v>0</v>
      </c>
      <c r="J6" s="11">
        <f t="shared" si="0"/>
        <v>7</v>
      </c>
    </row>
    <row r="7" spans="1:11" x14ac:dyDescent="0.2">
      <c r="A7" s="10" t="s">
        <v>254</v>
      </c>
      <c r="B7" s="11">
        <v>14</v>
      </c>
      <c r="C7" s="11">
        <v>0</v>
      </c>
      <c r="D7" s="11">
        <v>14</v>
      </c>
      <c r="G7" s="10" t="s">
        <v>254</v>
      </c>
      <c r="H7" s="11">
        <v>8</v>
      </c>
      <c r="I7" s="11">
        <v>4</v>
      </c>
      <c r="J7" s="11">
        <f t="shared" si="0"/>
        <v>12</v>
      </c>
    </row>
    <row r="8" spans="1:11" x14ac:dyDescent="0.2">
      <c r="A8" s="10" t="s">
        <v>255</v>
      </c>
      <c r="B8" s="11">
        <v>13</v>
      </c>
      <c r="C8" s="11">
        <v>1</v>
      </c>
      <c r="D8" s="11">
        <v>14</v>
      </c>
      <c r="G8" s="10" t="s">
        <v>255</v>
      </c>
      <c r="H8" s="11">
        <v>5</v>
      </c>
      <c r="I8" s="11">
        <v>4</v>
      </c>
      <c r="J8" s="11">
        <f t="shared" si="0"/>
        <v>9</v>
      </c>
    </row>
    <row r="9" spans="1:11" x14ac:dyDescent="0.2">
      <c r="A9" s="10" t="s">
        <v>256</v>
      </c>
      <c r="B9" s="11">
        <v>15</v>
      </c>
      <c r="C9" s="11">
        <v>0</v>
      </c>
      <c r="D9" s="11">
        <v>15</v>
      </c>
      <c r="G9" s="10" t="s">
        <v>256</v>
      </c>
      <c r="H9" s="11">
        <v>11</v>
      </c>
      <c r="I9" s="11">
        <v>1</v>
      </c>
      <c r="J9" s="11">
        <f t="shared" si="0"/>
        <v>12</v>
      </c>
    </row>
    <row r="10" spans="1:11" x14ac:dyDescent="0.2">
      <c r="A10" s="10" t="s">
        <v>257</v>
      </c>
      <c r="B10" s="11">
        <v>13</v>
      </c>
      <c r="C10" s="11">
        <v>1</v>
      </c>
      <c r="D10" s="11">
        <v>14</v>
      </c>
      <c r="G10" s="10" t="s">
        <v>257</v>
      </c>
      <c r="H10" s="11">
        <v>12</v>
      </c>
      <c r="I10" s="11">
        <v>0</v>
      </c>
      <c r="J10" s="11">
        <f t="shared" si="0"/>
        <v>12</v>
      </c>
    </row>
    <row r="11" spans="1:11" x14ac:dyDescent="0.2">
      <c r="H11" s="12"/>
      <c r="I11" s="12"/>
      <c r="J11" s="12"/>
    </row>
    <row r="12" spans="1:11" x14ac:dyDescent="0.2">
      <c r="H12" s="12"/>
      <c r="I12" s="12"/>
      <c r="J12" s="12"/>
    </row>
    <row r="13" spans="1:11" x14ac:dyDescent="0.2">
      <c r="A13" s="20" t="s">
        <v>262</v>
      </c>
      <c r="B13" s="9" t="s">
        <v>240</v>
      </c>
      <c r="C13" s="9" t="s">
        <v>258</v>
      </c>
      <c r="D13" s="9" t="s">
        <v>259</v>
      </c>
      <c r="E13" s="17" t="s">
        <v>265</v>
      </c>
      <c r="G13" s="15" t="s">
        <v>261</v>
      </c>
      <c r="H13" s="9" t="s">
        <v>240</v>
      </c>
      <c r="I13" s="9" t="s">
        <v>258</v>
      </c>
      <c r="J13" s="9" t="s">
        <v>259</v>
      </c>
      <c r="K13" s="17" t="s">
        <v>265</v>
      </c>
    </row>
    <row r="14" spans="1:11" x14ac:dyDescent="0.2">
      <c r="A14" s="18" t="s">
        <v>164</v>
      </c>
      <c r="B14" s="11">
        <v>17</v>
      </c>
      <c r="C14" s="11">
        <v>1</v>
      </c>
      <c r="D14" s="11">
        <v>1</v>
      </c>
      <c r="E14" s="11" t="s">
        <v>264</v>
      </c>
      <c r="G14" s="10" t="s">
        <v>164</v>
      </c>
      <c r="H14" s="11">
        <v>8</v>
      </c>
      <c r="I14" s="11"/>
      <c r="J14" s="11">
        <v>2</v>
      </c>
      <c r="K14" s="8"/>
    </row>
    <row r="15" spans="1:11" x14ac:dyDescent="0.2">
      <c r="A15" s="18" t="s">
        <v>250</v>
      </c>
      <c r="B15" s="11">
        <v>19</v>
      </c>
      <c r="C15" s="11">
        <v>1</v>
      </c>
      <c r="D15" s="11">
        <v>1</v>
      </c>
      <c r="E15" s="11" t="s">
        <v>263</v>
      </c>
      <c r="G15" s="10" t="s">
        <v>250</v>
      </c>
      <c r="H15" s="11">
        <v>10</v>
      </c>
      <c r="I15" s="11">
        <v>2</v>
      </c>
      <c r="J15" s="11"/>
      <c r="K15" s="13" t="s">
        <v>260</v>
      </c>
    </row>
    <row r="16" spans="1:11" x14ac:dyDescent="0.2">
      <c r="A16" s="18" t="s">
        <v>251</v>
      </c>
      <c r="B16" s="11">
        <v>6</v>
      </c>
      <c r="C16" s="11"/>
      <c r="D16" s="11"/>
      <c r="E16" s="11"/>
      <c r="G16" s="10" t="s">
        <v>251</v>
      </c>
      <c r="H16" s="11">
        <v>9</v>
      </c>
      <c r="I16" s="11"/>
      <c r="J16" s="14"/>
      <c r="K16" s="8"/>
    </row>
    <row r="17" spans="1:11" x14ac:dyDescent="0.2">
      <c r="A17" s="18" t="s">
        <v>252</v>
      </c>
      <c r="B17" s="11">
        <v>8</v>
      </c>
      <c r="C17" s="11"/>
      <c r="D17" s="11"/>
      <c r="E17" s="11"/>
      <c r="G17" s="10" t="s">
        <v>252</v>
      </c>
      <c r="H17" s="11">
        <v>3</v>
      </c>
      <c r="I17" s="11"/>
      <c r="J17" s="11"/>
      <c r="K17" s="8"/>
    </row>
    <row r="18" spans="1:11" x14ac:dyDescent="0.2">
      <c r="A18" s="18" t="s">
        <v>253</v>
      </c>
      <c r="B18" s="11">
        <v>8</v>
      </c>
      <c r="C18" s="11"/>
      <c r="D18" s="11"/>
      <c r="E18" s="11"/>
      <c r="G18" s="10" t="s">
        <v>253</v>
      </c>
      <c r="H18" s="11">
        <v>7</v>
      </c>
      <c r="I18" s="11"/>
      <c r="J18" s="11"/>
      <c r="K18" s="8"/>
    </row>
    <row r="19" spans="1:11" x14ac:dyDescent="0.2">
      <c r="A19" s="18" t="s">
        <v>254</v>
      </c>
      <c r="B19" s="11">
        <v>14</v>
      </c>
      <c r="C19" s="11"/>
      <c r="D19" s="11"/>
      <c r="E19" s="11"/>
      <c r="G19" s="10" t="s">
        <v>254</v>
      </c>
      <c r="H19" s="11">
        <v>8</v>
      </c>
      <c r="I19" s="11"/>
      <c r="J19" s="11"/>
      <c r="K19" s="8"/>
    </row>
    <row r="20" spans="1:11" x14ac:dyDescent="0.2">
      <c r="A20" s="18" t="s">
        <v>255</v>
      </c>
      <c r="B20" s="11">
        <v>13</v>
      </c>
      <c r="C20" s="11"/>
      <c r="D20" s="11"/>
      <c r="E20" s="11"/>
      <c r="G20" s="10" t="s">
        <v>255</v>
      </c>
      <c r="H20" s="11">
        <v>5</v>
      </c>
      <c r="I20" s="11"/>
      <c r="J20" s="11"/>
      <c r="K20" s="8"/>
    </row>
    <row r="21" spans="1:11" x14ac:dyDescent="0.2">
      <c r="A21" s="18" t="s">
        <v>256</v>
      </c>
      <c r="B21" s="11">
        <v>15</v>
      </c>
      <c r="C21" s="11"/>
      <c r="D21" s="11"/>
      <c r="E21" s="11"/>
      <c r="G21" s="10" t="s">
        <v>256</v>
      </c>
      <c r="H21" s="11">
        <v>11</v>
      </c>
      <c r="I21" s="11"/>
      <c r="J21" s="11"/>
      <c r="K21" s="8"/>
    </row>
    <row r="22" spans="1:11" x14ac:dyDescent="0.2">
      <c r="A22" s="18" t="s">
        <v>257</v>
      </c>
      <c r="B22" s="11">
        <v>13</v>
      </c>
      <c r="C22" s="11"/>
      <c r="D22" s="11"/>
      <c r="E22" s="11"/>
      <c r="G22" s="10" t="s">
        <v>257</v>
      </c>
      <c r="H22" s="11">
        <v>12</v>
      </c>
      <c r="I22" s="11"/>
      <c r="J22" s="11"/>
      <c r="K22" s="8"/>
    </row>
  </sheetData>
  <conditionalFormatting sqref="J16 K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Foglio1</vt:lpstr>
      <vt:lpstr>Foglio2</vt:lpstr>
      <vt:lpstr>FINAL RESULTS</vt:lpstr>
      <vt:lpstr>Sheet1</vt:lpstr>
      <vt:lpstr>Foglio1!sensitivity</vt:lpstr>
    </vt:vector>
  </TitlesOfParts>
  <Company>Humanitas Mirasole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Utente: adgatti - Computer: PORT01007120</dc:creator>
  <cp:lastModifiedBy>CARLONI Sara HUNIMED</cp:lastModifiedBy>
  <dcterms:created xsi:type="dcterms:W3CDTF">2025-02-05T17:08:16Z</dcterms:created>
  <dcterms:modified xsi:type="dcterms:W3CDTF">2025-02-11T16:46:42Z</dcterms:modified>
</cp:coreProperties>
</file>