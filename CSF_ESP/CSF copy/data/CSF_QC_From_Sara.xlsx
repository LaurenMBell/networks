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laurenbell/Desktop/networks/CSF/data/"/>
    </mc:Choice>
  </mc:AlternateContent>
  <xr:revisionPtr revIDLastSave="0" documentId="13_ncr:1_{DD6F800E-29F7-6B46-96C4-B8E93187BCC7}" xr6:coauthVersionLast="47" xr6:coauthVersionMax="47" xr10:uidLastSave="{00000000-0000-0000-0000-000000000000}"/>
  <bookViews>
    <workbookView xWindow="15620" yWindow="500" windowWidth="13180" windowHeight="17500" xr2:uid="{00000000-000D-0000-FFFF-FFFF00000000}"/>
  </bookViews>
  <sheets>
    <sheet name="Foglio1" sheetId="1" r:id="rId1"/>
    <sheet name="Sheet1" sheetId="2" r:id="rId2"/>
  </sheets>
  <definedNames>
    <definedName name="_xlnm._FilterDatabase" localSheetId="0" hidden="1">Foglio1!$A$2:$AA$84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D4" i="2"/>
  <c r="D5" i="2"/>
  <c r="D6" i="2"/>
  <c r="D7" i="2"/>
  <c r="D8" i="2"/>
  <c r="D9" i="2"/>
  <c r="D10" i="2"/>
  <c r="D2" i="2"/>
</calcChain>
</file>

<file path=xl/sharedStrings.xml><?xml version="1.0" encoding="utf-8"?>
<sst xmlns="http://schemas.openxmlformats.org/spreadsheetml/2006/main" count="1061" uniqueCount="278">
  <si>
    <t>SampleID</t>
  </si>
  <si>
    <t>32963296.1_VECPAC_200224</t>
  </si>
  <si>
    <t>VECPAC</t>
  </si>
  <si>
    <t>3297_VECPAC_190224</t>
  </si>
  <si>
    <t>330632963296.1VECPAC_200224_2</t>
  </si>
  <si>
    <t>33283356_VECPAC_190224</t>
  </si>
  <si>
    <t>333033473689_VECPAC_190224</t>
  </si>
  <si>
    <t>335233703689_VECPAC_200224</t>
  </si>
  <si>
    <t>33543353VECPAC_190224</t>
  </si>
  <si>
    <t>335533643665_VECPAC_200224</t>
  </si>
  <si>
    <t>3369367333713677_VECPAC_190224</t>
  </si>
  <si>
    <t>36743677_VECPAC_190224</t>
  </si>
  <si>
    <t>36773688_VECPAC_190224</t>
  </si>
  <si>
    <t>3679_VECPAC_190224</t>
  </si>
  <si>
    <t>36803629.1_REP_VECPAC_200224</t>
  </si>
  <si>
    <t>3681_VECPAC_190224</t>
  </si>
  <si>
    <t>3687_VECPAC_190224</t>
  </si>
  <si>
    <t>935_CTR_LPS_CSF_070224</t>
  </si>
  <si>
    <t>936_CTR_LPS_CSF_070224_2</t>
  </si>
  <si>
    <t>937_CTR_LPS_CSF_070224</t>
  </si>
  <si>
    <t>938942_CTR_LPS_CSF_070224</t>
  </si>
  <si>
    <t>LPS</t>
  </si>
  <si>
    <t>939940.2_CTR_LPS_CSF_070224</t>
  </si>
  <si>
    <t>940934_CTR_LPS_CSF_070224</t>
  </si>
  <si>
    <t>941_CTR_LPS_CSF_070224</t>
  </si>
  <si>
    <t>942_CTR_LPS_CSF_070224</t>
  </si>
  <si>
    <t>943_CTR_LPS_CSF_070224</t>
  </si>
  <si>
    <t>944946_CSF_25H_080224</t>
  </si>
  <si>
    <t>945949_CTR_25H_CSF_070224</t>
  </si>
  <si>
    <t>948_CSF_25H_080224</t>
  </si>
  <si>
    <t>950951947_CSF_25H_080224</t>
  </si>
  <si>
    <t>952953_CSF_25H_080224</t>
  </si>
  <si>
    <t>954961_CSF_24H_080224</t>
  </si>
  <si>
    <t>955961_CSF_24H_080224</t>
  </si>
  <si>
    <t>956_CSF_24H_080224</t>
  </si>
  <si>
    <t>957_CSF_24H_080224</t>
  </si>
  <si>
    <t>958963_CSF_24H_080224</t>
  </si>
  <si>
    <t>959_CSF_24H_080224</t>
  </si>
  <si>
    <t>960962963_CSF_24H_080224</t>
  </si>
  <si>
    <t>CSF_101_102_104_21122021</t>
  </si>
  <si>
    <t>DSS</t>
  </si>
  <si>
    <t>original class</t>
  </si>
  <si>
    <t>CSF_105_21122021</t>
  </si>
  <si>
    <t>CSF_106_20122021</t>
  </si>
  <si>
    <t>CSF_109_21122021</t>
  </si>
  <si>
    <t>CSF_110_21122021</t>
  </si>
  <si>
    <t>CSF_113_20122021</t>
  </si>
  <si>
    <t>CSF_115_116_121_122_21122021</t>
  </si>
  <si>
    <t>CSF_118_120_21122021</t>
  </si>
  <si>
    <t>CSF_123_124_126_20122021</t>
  </si>
  <si>
    <t>CSF_129_21122021</t>
  </si>
  <si>
    <t>CSF_70_21122021</t>
  </si>
  <si>
    <t>CSF_75_103_20122021</t>
  </si>
  <si>
    <t>CSF_81_83_108_113_21122021</t>
  </si>
  <si>
    <t>CSF_88_118_21122021</t>
  </si>
  <si>
    <t>CSF_89_PROVA_07122021</t>
  </si>
  <si>
    <t>CSF_96_20122021</t>
  </si>
  <si>
    <t>CSF_97_21122021</t>
  </si>
  <si>
    <t>DSS_114107_090224</t>
  </si>
  <si>
    <t>DSS_117_120224</t>
  </si>
  <si>
    <t>DSS_1229087_120224</t>
  </si>
  <si>
    <t>DSS_12994128_120224</t>
  </si>
  <si>
    <t>DSS_7177T0.5_090224</t>
  </si>
  <si>
    <t>DSS_7274T0.8.2_090224</t>
  </si>
  <si>
    <t>DSS_73_090224</t>
  </si>
  <si>
    <t>DSS_76_090224</t>
  </si>
  <si>
    <t>DSS_7911180902_090224</t>
  </si>
  <si>
    <t>DSS_8586T3.878906_120224</t>
  </si>
  <si>
    <t>DSS_906T3.8_120224</t>
  </si>
  <si>
    <t>DSS_907_120224</t>
  </si>
  <si>
    <t>DSS_91_120224</t>
  </si>
  <si>
    <t>DSS_911T5.6_120224</t>
  </si>
  <si>
    <t>DSS_912_120224</t>
  </si>
  <si>
    <t>DSS_93126T5.6_120224</t>
  </si>
  <si>
    <t>DSS_95127_120224</t>
  </si>
  <si>
    <t>DSS_B896_090224</t>
  </si>
  <si>
    <t>DSS_BT1.8_090224</t>
  </si>
  <si>
    <t>DSS_T0.5B897_090224</t>
  </si>
  <si>
    <t>DSS_T0.7_090224</t>
  </si>
  <si>
    <t>DSS_T0.8_090224</t>
  </si>
  <si>
    <t>DSS_T1.5T1.7902_090224</t>
  </si>
  <si>
    <t>DSS_T1.6901_090224</t>
  </si>
  <si>
    <t>DSS_T3.6_090224</t>
  </si>
  <si>
    <t>DSS_T3.7_090224</t>
  </si>
  <si>
    <t>DSS_T5.5T5.8_120224</t>
  </si>
  <si>
    <t>DSS_T5.7_120224</t>
  </si>
  <si>
    <t>VECPAC_36783675_120224</t>
  </si>
  <si>
    <t>class after prediction</t>
  </si>
  <si>
    <t>LPS/VECPAC</t>
  </si>
  <si>
    <t>DSS/LPS</t>
  </si>
  <si>
    <t>used in training</t>
  </si>
  <si>
    <t>YES</t>
  </si>
  <si>
    <t>NO</t>
  </si>
  <si>
    <t>EXPERIMENTAL GROUPS</t>
  </si>
  <si>
    <t>TIMEPOINTS</t>
  </si>
  <si>
    <t>CRE</t>
  </si>
  <si>
    <t>VECPAC CTRL</t>
  </si>
  <si>
    <t>LPS CTRL</t>
  </si>
  <si>
    <t>LPS 2.5H</t>
  </si>
  <si>
    <t>LPS 24H</t>
  </si>
  <si>
    <t>T0</t>
  </si>
  <si>
    <t>T1</t>
  </si>
  <si>
    <t>T3</t>
  </si>
  <si>
    <t>T5</t>
  </si>
  <si>
    <t>correctly classified : 67% 55/82</t>
  </si>
  <si>
    <t>correctly predicted: 5/27 total</t>
  </si>
  <si>
    <t>yes</t>
  </si>
  <si>
    <t>predicted TP VECPAC</t>
  </si>
  <si>
    <t>predicted TP LPS</t>
  </si>
  <si>
    <t>predicted TP DSS</t>
  </si>
  <si>
    <t>100% CTRL</t>
  </si>
  <si>
    <t>66% CTRL</t>
  </si>
  <si>
    <t>83% CTRL</t>
  </si>
  <si>
    <t>50% CTRL 50% CRE</t>
  </si>
  <si>
    <t>83% CRE</t>
  </si>
  <si>
    <t>71% CRE</t>
  </si>
  <si>
    <t>24H</t>
  </si>
  <si>
    <t>2.5H</t>
  </si>
  <si>
    <t>No T0</t>
  </si>
  <si>
    <t>CSF Composition</t>
  </si>
  <si>
    <t>ul for the pool</t>
  </si>
  <si>
    <t>Total ul (Were already normalized)</t>
  </si>
  <si>
    <t>938+942</t>
  </si>
  <si>
    <t>939+940.2</t>
  </si>
  <si>
    <t>940+934</t>
  </si>
  <si>
    <t>958+963</t>
  </si>
  <si>
    <t>954+961</t>
  </si>
  <si>
    <t>955+961</t>
  </si>
  <si>
    <t>960+962+963</t>
  </si>
  <si>
    <t>944+946</t>
  </si>
  <si>
    <t>952+953</t>
  </si>
  <si>
    <t>945+949</t>
  </si>
  <si>
    <t>950+951+947</t>
  </si>
  <si>
    <t>8+2</t>
  </si>
  <si>
    <t>8.5+1.5</t>
  </si>
  <si>
    <t>3+7</t>
  </si>
  <si>
    <t>6+3+1</t>
  </si>
  <si>
    <t>6.5+3.5</t>
  </si>
  <si>
    <t>6+2.5+1.5</t>
  </si>
  <si>
    <t>4+4.5</t>
  </si>
  <si>
    <t>7+3</t>
  </si>
  <si>
    <t>101+102+104</t>
  </si>
  <si>
    <t>75+103</t>
  </si>
  <si>
    <t>72+74+T0.8.2</t>
  </si>
  <si>
    <t>T0.5+897</t>
  </si>
  <si>
    <t>T0.7</t>
  </si>
  <si>
    <t>T0.8</t>
  </si>
  <si>
    <t>81+83+108+113</t>
  </si>
  <si>
    <t>114+107</t>
  </si>
  <si>
    <t>T1.8</t>
  </si>
  <si>
    <t>T1.5+T1.7+902</t>
  </si>
  <si>
    <t>T1.6+901</t>
  </si>
  <si>
    <t>115+116+121+122</t>
  </si>
  <si>
    <t>118+120</t>
  </si>
  <si>
    <t>88+118</t>
  </si>
  <si>
    <t>906+T3.8</t>
  </si>
  <si>
    <t>T3.6</t>
  </si>
  <si>
    <t>T3.7</t>
  </si>
  <si>
    <t>123+124+126</t>
  </si>
  <si>
    <t>911+T5.6</t>
  </si>
  <si>
    <t>93+126+T5.6</t>
  </si>
  <si>
    <t>95+127</t>
  </si>
  <si>
    <t>T5.5+T5.8</t>
  </si>
  <si>
    <t>T5.7</t>
  </si>
  <si>
    <t>79+111+80+902</t>
  </si>
  <si>
    <t>85+86+T3.8+78+906</t>
  </si>
  <si>
    <t>122+90+87</t>
  </si>
  <si>
    <t>129+94+128</t>
  </si>
  <si>
    <t>71+77+T0.5</t>
  </si>
  <si>
    <t>3+2.5+3.5</t>
  </si>
  <si>
    <t>6+1.5+1.5</t>
  </si>
  <si>
    <t>2+8</t>
  </si>
  <si>
    <t>5+5</t>
  </si>
  <si>
    <t>6+1+1+2</t>
  </si>
  <si>
    <t>2+4+4</t>
  </si>
  <si>
    <t>4.5+5</t>
  </si>
  <si>
    <t>2.5+5.5+2</t>
  </si>
  <si>
    <t>0.5+3+2.5+2+2</t>
  </si>
  <si>
    <t>4+6</t>
  </si>
  <si>
    <t>4+1+5</t>
  </si>
  <si>
    <t>6+2</t>
  </si>
  <si>
    <t>7+2+1</t>
  </si>
  <si>
    <t>5.5+4.5</t>
  </si>
  <si>
    <t>3296+3296.1</t>
  </si>
  <si>
    <t>3328+3356</t>
  </si>
  <si>
    <t>3330+3347+3689</t>
  </si>
  <si>
    <t>3352+3370+3689</t>
  </si>
  <si>
    <t>3355+3364+3665</t>
  </si>
  <si>
    <t>3354+3353</t>
  </si>
  <si>
    <t>3369+3673+3371+3677</t>
  </si>
  <si>
    <t>3674+3677</t>
  </si>
  <si>
    <t>3677+3688</t>
  </si>
  <si>
    <t>3678+3675</t>
  </si>
  <si>
    <t>3306+3296+3296.1</t>
  </si>
  <si>
    <t>3+4+3</t>
  </si>
  <si>
    <t>4+3+1.5</t>
  </si>
  <si>
    <t>3+5+2</t>
  </si>
  <si>
    <t>8+0.5</t>
  </si>
  <si>
    <t>3.5+0.5+4+2</t>
  </si>
  <si>
    <t>9+1</t>
  </si>
  <si>
    <t>5.5+3</t>
  </si>
  <si>
    <t>3680+3329</t>
  </si>
  <si>
    <t>CRE+</t>
  </si>
  <si>
    <t>Excluded</t>
  </si>
  <si>
    <t>Confirmed</t>
  </si>
  <si>
    <t>?</t>
  </si>
  <si>
    <t>Reason</t>
  </si>
  <si>
    <t>They are not matching with all the time points with similar %</t>
  </si>
  <si>
    <t>The classification in T0 could be due to a delay in the biological effect</t>
  </si>
  <si>
    <t>MATCH with RNA seq</t>
  </si>
  <si>
    <t>RNA seq CP CRE+ (Dropped)</t>
  </si>
  <si>
    <t>101 RNA seq CP VECPAC CRE- (Keep)</t>
  </si>
  <si>
    <t xml:space="preserve">952 RNA seq CP DSS CTRL (Dropped) </t>
  </si>
  <si>
    <t>Confirmed (Check RNA seq which is confirming for the CP)</t>
  </si>
  <si>
    <t xml:space="preserve">There is not any switch </t>
  </si>
  <si>
    <t>LPS 2.5</t>
  </si>
  <si>
    <t>LPS 24</t>
  </si>
  <si>
    <t>DSS T0</t>
  </si>
  <si>
    <t>DSS T1</t>
  </si>
  <si>
    <t>Switch</t>
  </si>
  <si>
    <t xml:space="preserve">VECPAC CTRL </t>
  </si>
  <si>
    <t>DSS T3</t>
  </si>
  <si>
    <t>DSS T5</t>
  </si>
  <si>
    <t>Keep</t>
  </si>
  <si>
    <t>Drop</t>
  </si>
  <si>
    <t>Total</t>
  </si>
  <si>
    <r>
      <rPr>
        <b/>
        <sz val="9"/>
        <color theme="1"/>
        <rFont val="Calibri"/>
        <family val="2"/>
        <scheme val="minor"/>
      </rPr>
      <t>3680; 3629.1</t>
    </r>
    <r>
      <rPr>
        <sz val="9"/>
        <color theme="1"/>
        <rFont val="Calibri"/>
        <family val="2"/>
        <scheme val="minor"/>
      </rPr>
      <t>_REP_VECPAC_200224;</t>
    </r>
    <r>
      <rPr>
        <b/>
        <sz val="9"/>
        <color theme="1"/>
        <rFont val="Calibri"/>
        <family val="2"/>
        <scheme val="minor"/>
      </rPr>
      <t>3687</t>
    </r>
    <r>
      <rPr>
        <sz val="9"/>
        <color theme="1"/>
        <rFont val="Calibri"/>
        <family val="2"/>
        <scheme val="minor"/>
      </rPr>
      <t>_VECPAC_190224</t>
    </r>
  </si>
  <si>
    <t>Switch Original class</t>
  </si>
  <si>
    <t>Switch New Class</t>
  </si>
  <si>
    <t>FINAL class</t>
  </si>
  <si>
    <t>Action</t>
  </si>
  <si>
    <t>CTRL VS 2.5H</t>
  </si>
  <si>
    <t>CTRL VS 24H</t>
  </si>
  <si>
    <t>2.5H VS 24H</t>
  </si>
  <si>
    <t>71% 24H</t>
  </si>
  <si>
    <t>100% 24H</t>
  </si>
  <si>
    <t>86% CTRL</t>
  </si>
  <si>
    <t>86% 24H</t>
  </si>
  <si>
    <t>57% 24H 43% CTRL</t>
  </si>
  <si>
    <t>100% 2.5H</t>
  </si>
  <si>
    <t>86% ctrl</t>
  </si>
  <si>
    <t>50% 24H 50% CTRL</t>
  </si>
  <si>
    <t>66% 24H</t>
  </si>
  <si>
    <t>86% 2.5H</t>
  </si>
  <si>
    <t>66% 24H 33% CTRL</t>
  </si>
  <si>
    <t>T0 VS T1</t>
  </si>
  <si>
    <t>T0 VS T3</t>
  </si>
  <si>
    <t>T0 VS T5</t>
  </si>
  <si>
    <t>T1 VS T3</t>
  </si>
  <si>
    <t>T1 VS T5</t>
  </si>
  <si>
    <t>T3 VS T5</t>
  </si>
  <si>
    <t>57% T0 43% T1</t>
  </si>
  <si>
    <t>100% T3</t>
  </si>
  <si>
    <t>86% T0</t>
  </si>
  <si>
    <t>86% T3</t>
  </si>
  <si>
    <t>100% T1</t>
  </si>
  <si>
    <t>66% T0 33% T1</t>
  </si>
  <si>
    <t>100% T0</t>
  </si>
  <si>
    <t>100% T5</t>
  </si>
  <si>
    <t>66% T1</t>
  </si>
  <si>
    <t>86% T1</t>
  </si>
  <si>
    <t>86% T5</t>
  </si>
  <si>
    <t>50% T1 50% T3</t>
  </si>
  <si>
    <t>71% T0</t>
  </si>
  <si>
    <t>83% T3</t>
  </si>
  <si>
    <t>71% T3</t>
  </si>
  <si>
    <t>66% T0</t>
  </si>
  <si>
    <t>83% T1</t>
  </si>
  <si>
    <t>66% T3</t>
  </si>
  <si>
    <t>66% T5</t>
  </si>
  <si>
    <t>71% T5</t>
  </si>
  <si>
    <t>57% T1 43% T5</t>
  </si>
  <si>
    <t>50% T3 50% T5</t>
  </si>
  <si>
    <t>83% T0</t>
  </si>
  <si>
    <t>50% T0 50% T1</t>
  </si>
  <si>
    <t>LPS_CTRL</t>
  </si>
  <si>
    <t>Excluded (Check RNA seq , is not confirming)</t>
  </si>
  <si>
    <t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</si>
</sst>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5" fillId="0" borderId="0" xfId="0" applyFont="1"/>
    <xf numFmtId="0" fontId="2" fillId="2" borderId="0" xfId="1"/>
    <xf numFmtId="0" fontId="1" fillId="3" borderId="0" xfId="2"/>
    <xf numFmtId="0" fontId="1" fillId="4" borderId="0" xfId="3"/>
    <xf numFmtId="0" fontId="0" fillId="4" borderId="0" xfId="3" applyFont="1"/>
    <xf numFmtId="2" fontId="0" fillId="0" borderId="0" xfId="0" applyNumberFormat="1"/>
    <xf numFmtId="0" fontId="0" fillId="8" borderId="0" xfId="0" applyFill="1"/>
    <xf numFmtId="0" fontId="3" fillId="7" borderId="0" xfId="6"/>
    <xf numFmtId="0" fontId="3" fillId="6" borderId="0" xfId="5"/>
    <xf numFmtId="0" fontId="6" fillId="5" borderId="0" xfId="4" applyFont="1" applyAlignment="1"/>
    <xf numFmtId="0" fontId="7" fillId="9" borderId="0" xfId="0" applyFont="1" applyFill="1" applyAlignment="1">
      <alignment vertical="center"/>
    </xf>
    <xf numFmtId="0" fontId="4" fillId="8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10" borderId="0" xfId="0" applyFill="1"/>
    <xf numFmtId="0" fontId="0" fillId="0" borderId="1" xfId="0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8" borderId="0" xfId="6" applyFont="1" applyFill="1"/>
    <xf numFmtId="0" fontId="0" fillId="9" borderId="0" xfId="0" applyFill="1"/>
  </cellXfs>
  <cellStyles count="7">
    <cellStyle name="40% - Accent1" xfId="2" builtinId="31"/>
    <cellStyle name="40% - Accent2" xfId="3" builtinId="35"/>
    <cellStyle name="Accent1" xfId="5" builtinId="29"/>
    <cellStyle name="Accent4" xfId="4" builtinId="41"/>
    <cellStyle name="Accent6" xfId="6" builtinId="49"/>
    <cellStyle name="Good" xfId="1" builtinId="26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4"/>
  <sheetViews>
    <sheetView tabSelected="1" zoomScale="115" zoomScaleNormal="115" workbookViewId="0">
      <pane xSplit="1" ySplit="2" topLeftCell="Y3" activePane="bottomRight" state="frozen"/>
      <selection pane="topRight" activeCell="B1" sqref="B1"/>
      <selection pane="bottomLeft" activeCell="A3" sqref="A3"/>
      <selection pane="bottomRight" activeCell="Y6" sqref="Y6"/>
    </sheetView>
  </sheetViews>
  <sheetFormatPr baseColWidth="10" defaultColWidth="8.83203125" defaultRowHeight="15" x14ac:dyDescent="0.2"/>
  <cols>
    <col min="1" max="1" width="27.1640625" bestFit="1" customWidth="1"/>
    <col min="2" max="3" width="16.83203125" customWidth="1"/>
    <col min="4" max="5" width="27.1640625" customWidth="1"/>
    <col min="6" max="6" width="16.1640625" customWidth="1"/>
    <col min="7" max="7" width="17" bestFit="1" customWidth="1"/>
    <col min="8" max="8" width="27.83203125" bestFit="1" customWidth="1"/>
    <col min="9" max="9" width="35.1640625" customWidth="1"/>
    <col min="10" max="10" width="14.1640625" bestFit="1" customWidth="1"/>
    <col min="11" max="11" width="17" bestFit="1" customWidth="1"/>
    <col min="12" max="12" width="27" bestFit="1" customWidth="1"/>
    <col min="13" max="15" width="27" customWidth="1"/>
    <col min="16" max="16" width="21.83203125" bestFit="1" customWidth="1"/>
    <col min="17" max="22" width="21.83203125" customWidth="1"/>
    <col min="23" max="23" width="22.33203125" bestFit="1" customWidth="1"/>
    <col min="24" max="24" width="23.33203125" customWidth="1"/>
    <col min="25" max="25" width="51" bestFit="1" customWidth="1"/>
    <col min="26" max="26" width="9.33203125" customWidth="1"/>
    <col min="27" max="27" width="53.83203125" bestFit="1" customWidth="1"/>
    <col min="28" max="28" width="28.83203125" bestFit="1" customWidth="1"/>
    <col min="29" max="29" width="29.33203125" bestFit="1" customWidth="1"/>
  </cols>
  <sheetData>
    <row r="1" spans="1:28" ht="21" customHeight="1" x14ac:dyDescent="0.25">
      <c r="F1" s="11" t="s">
        <v>93</v>
      </c>
      <c r="G1" s="11"/>
      <c r="H1" s="11"/>
      <c r="I1" t="s">
        <v>104</v>
      </c>
      <c r="J1" s="11" t="s">
        <v>94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2" t="s">
        <v>229</v>
      </c>
      <c r="Y1" t="s">
        <v>230</v>
      </c>
      <c r="AA1" t="s">
        <v>206</v>
      </c>
      <c r="AB1" t="s">
        <v>209</v>
      </c>
    </row>
    <row r="2" spans="1:28" s="2" customFormat="1" ht="19" customHeight="1" x14ac:dyDescent="0.25">
      <c r="A2" s="2" t="s">
        <v>0</v>
      </c>
      <c r="B2" s="2" t="s">
        <v>119</v>
      </c>
      <c r="C2" s="2" t="s">
        <v>277</v>
      </c>
      <c r="D2" s="2" t="s">
        <v>120</v>
      </c>
      <c r="E2" s="2" t="s">
        <v>121</v>
      </c>
      <c r="F2" s="2" t="s">
        <v>41</v>
      </c>
      <c r="G2" s="2" t="s">
        <v>90</v>
      </c>
      <c r="H2" s="2" t="s">
        <v>87</v>
      </c>
      <c r="I2" t="s">
        <v>105</v>
      </c>
      <c r="J2" s="2" t="s">
        <v>41</v>
      </c>
      <c r="K2" s="2" t="s">
        <v>90</v>
      </c>
      <c r="L2" s="2" t="s">
        <v>107</v>
      </c>
      <c r="M2" s="8" t="s">
        <v>231</v>
      </c>
      <c r="N2" t="s">
        <v>232</v>
      </c>
      <c r="O2" t="s">
        <v>233</v>
      </c>
      <c r="P2" s="2" t="s">
        <v>108</v>
      </c>
      <c r="Q2" t="s">
        <v>245</v>
      </c>
      <c r="R2" t="s">
        <v>246</v>
      </c>
      <c r="S2" t="s">
        <v>247</v>
      </c>
      <c r="T2" t="s">
        <v>248</v>
      </c>
      <c r="U2" t="s">
        <v>249</v>
      </c>
      <c r="V2" t="s">
        <v>250</v>
      </c>
      <c r="W2" s="2" t="s">
        <v>109</v>
      </c>
      <c r="X2" s="12"/>
      <c r="Y2" s="2" t="s">
        <v>230</v>
      </c>
      <c r="Z2" s="2" t="s">
        <v>219</v>
      </c>
    </row>
    <row r="3" spans="1:28" x14ac:dyDescent="0.2">
      <c r="A3" s="1" t="s">
        <v>62</v>
      </c>
      <c r="B3" s="14" t="s">
        <v>168</v>
      </c>
      <c r="C3" s="14" t="b">
        <f>SUM(LEN(B3)-LEN(SUBSTITUTE(B3,"+","")))/LEN("+") &gt;= 1</f>
        <v>1</v>
      </c>
      <c r="D3" t="s">
        <v>169</v>
      </c>
      <c r="E3">
        <v>9</v>
      </c>
      <c r="F3" s="1" t="s">
        <v>40</v>
      </c>
      <c r="G3" s="1" t="s">
        <v>91</v>
      </c>
      <c r="H3" s="3" t="s">
        <v>40</v>
      </c>
      <c r="J3" t="s">
        <v>100</v>
      </c>
      <c r="K3" t="s">
        <v>91</v>
      </c>
      <c r="P3" s="1"/>
      <c r="X3" s="9" t="s">
        <v>100</v>
      </c>
      <c r="Y3" t="s">
        <v>204</v>
      </c>
    </row>
    <row r="4" spans="1:28" x14ac:dyDescent="0.2">
      <c r="A4" s="1" t="s">
        <v>63</v>
      </c>
      <c r="B4" s="14" t="s">
        <v>143</v>
      </c>
      <c r="C4" s="14" t="b">
        <f t="shared" ref="C4:C67" si="0">SUM(LEN(B4)-LEN(SUBSTITUTE(B4,"+","")))/LEN("+") &gt;= 1</f>
        <v>1</v>
      </c>
      <c r="D4" t="s">
        <v>170</v>
      </c>
      <c r="E4">
        <v>9</v>
      </c>
      <c r="F4" s="1" t="s">
        <v>40</v>
      </c>
      <c r="G4" s="1" t="s">
        <v>91</v>
      </c>
      <c r="H4" s="3" t="s">
        <v>40</v>
      </c>
      <c r="J4" t="s">
        <v>100</v>
      </c>
      <c r="K4" t="s">
        <v>91</v>
      </c>
      <c r="P4" s="1"/>
      <c r="X4" s="9" t="s">
        <v>100</v>
      </c>
      <c r="Y4" t="s">
        <v>204</v>
      </c>
    </row>
    <row r="5" spans="1:28" x14ac:dyDescent="0.2">
      <c r="A5" s="1" t="s">
        <v>65</v>
      </c>
      <c r="B5" s="14">
        <v>76</v>
      </c>
      <c r="C5" s="14" t="b">
        <f t="shared" si="0"/>
        <v>0</v>
      </c>
      <c r="D5">
        <v>10</v>
      </c>
      <c r="E5">
        <v>10</v>
      </c>
      <c r="F5" s="1" t="s">
        <v>40</v>
      </c>
      <c r="G5" s="1" t="s">
        <v>91</v>
      </c>
      <c r="H5" s="3" t="s">
        <v>40</v>
      </c>
      <c r="J5" t="s">
        <v>100</v>
      </c>
      <c r="K5" t="s">
        <v>91</v>
      </c>
      <c r="P5" s="1"/>
      <c r="X5" s="9" t="s">
        <v>100</v>
      </c>
      <c r="Y5" t="s">
        <v>204</v>
      </c>
    </row>
    <row r="6" spans="1:28" x14ac:dyDescent="0.2">
      <c r="A6" s="1" t="s">
        <v>75</v>
      </c>
      <c r="B6" s="14">
        <v>896</v>
      </c>
      <c r="C6" s="14" t="b">
        <f t="shared" si="0"/>
        <v>0</v>
      </c>
      <c r="D6">
        <v>9</v>
      </c>
      <c r="E6">
        <v>9</v>
      </c>
      <c r="F6" s="1" t="s">
        <v>40</v>
      </c>
      <c r="G6" s="1" t="s">
        <v>91</v>
      </c>
      <c r="H6" s="3" t="s">
        <v>40</v>
      </c>
      <c r="J6" t="s">
        <v>100</v>
      </c>
      <c r="K6" t="s">
        <v>91</v>
      </c>
      <c r="P6" s="1"/>
      <c r="X6" s="9" t="s">
        <v>100</v>
      </c>
      <c r="Y6" t="s">
        <v>204</v>
      </c>
    </row>
    <row r="7" spans="1:28" x14ac:dyDescent="0.2">
      <c r="A7" s="1" t="s">
        <v>77</v>
      </c>
      <c r="B7" s="14" t="s">
        <v>144</v>
      </c>
      <c r="C7" s="14" t="b">
        <f t="shared" si="0"/>
        <v>1</v>
      </c>
      <c r="D7" t="s">
        <v>171</v>
      </c>
      <c r="E7">
        <v>10</v>
      </c>
      <c r="F7" s="1" t="s">
        <v>40</v>
      </c>
      <c r="G7" s="1" t="s">
        <v>91</v>
      </c>
      <c r="H7" s="3" t="s">
        <v>40</v>
      </c>
      <c r="J7" t="s">
        <v>100</v>
      </c>
      <c r="K7" t="s">
        <v>91</v>
      </c>
      <c r="P7" s="1"/>
      <c r="X7" s="9" t="s">
        <v>100</v>
      </c>
      <c r="Y7" t="s">
        <v>204</v>
      </c>
    </row>
    <row r="8" spans="1:28" x14ac:dyDescent="0.2">
      <c r="A8" s="1" t="s">
        <v>78</v>
      </c>
      <c r="B8" s="14" t="s">
        <v>145</v>
      </c>
      <c r="C8" s="14" t="b">
        <f t="shared" si="0"/>
        <v>0</v>
      </c>
      <c r="D8">
        <v>10</v>
      </c>
      <c r="E8">
        <v>10</v>
      </c>
      <c r="F8" s="1" t="s">
        <v>40</v>
      </c>
      <c r="G8" s="1" t="s">
        <v>92</v>
      </c>
      <c r="H8" s="4" t="s">
        <v>40</v>
      </c>
      <c r="J8" t="s">
        <v>100</v>
      </c>
      <c r="K8" t="s">
        <v>91</v>
      </c>
      <c r="P8" s="1"/>
      <c r="X8" s="9" t="s">
        <v>100</v>
      </c>
      <c r="Y8" t="s">
        <v>204</v>
      </c>
    </row>
    <row r="9" spans="1:28" x14ac:dyDescent="0.2">
      <c r="A9" s="1" t="s">
        <v>79</v>
      </c>
      <c r="B9" s="14" t="s">
        <v>146</v>
      </c>
      <c r="C9" s="14" t="b">
        <f t="shared" si="0"/>
        <v>0</v>
      </c>
      <c r="D9">
        <v>9</v>
      </c>
      <c r="E9">
        <v>9</v>
      </c>
      <c r="F9" s="1" t="s">
        <v>40</v>
      </c>
      <c r="G9" s="1" t="s">
        <v>91</v>
      </c>
      <c r="H9" s="3" t="s">
        <v>40</v>
      </c>
      <c r="J9" t="s">
        <v>100</v>
      </c>
      <c r="K9" t="s">
        <v>91</v>
      </c>
      <c r="P9" s="1"/>
      <c r="X9" s="9" t="s">
        <v>100</v>
      </c>
      <c r="Y9" t="s">
        <v>204</v>
      </c>
    </row>
    <row r="10" spans="1:28" x14ac:dyDescent="0.2">
      <c r="A10" s="1" t="s">
        <v>64</v>
      </c>
      <c r="B10" s="14">
        <v>73</v>
      </c>
      <c r="C10" s="14" t="b">
        <f t="shared" si="0"/>
        <v>0</v>
      </c>
      <c r="D10">
        <v>10</v>
      </c>
      <c r="E10">
        <v>10</v>
      </c>
      <c r="F10" s="1" t="s">
        <v>40</v>
      </c>
      <c r="G10" s="1" t="s">
        <v>92</v>
      </c>
      <c r="H10" s="5" t="s">
        <v>2</v>
      </c>
      <c r="J10" t="s">
        <v>100</v>
      </c>
      <c r="K10" t="s">
        <v>92</v>
      </c>
      <c r="L10" s="7" t="s">
        <v>110</v>
      </c>
      <c r="M10" s="7"/>
      <c r="N10" s="7"/>
      <c r="O10" s="7"/>
      <c r="P10" s="1"/>
      <c r="Q10" t="s">
        <v>257</v>
      </c>
      <c r="R10" t="s">
        <v>257</v>
      </c>
      <c r="S10" t="s">
        <v>257</v>
      </c>
      <c r="T10" t="s">
        <v>254</v>
      </c>
      <c r="U10" t="s">
        <v>255</v>
      </c>
      <c r="V10" t="s">
        <v>252</v>
      </c>
      <c r="W10" t="s">
        <v>100</v>
      </c>
      <c r="X10" s="15" t="s">
        <v>100</v>
      </c>
      <c r="Y10" t="s">
        <v>204</v>
      </c>
    </row>
    <row r="11" spans="1:28" x14ac:dyDescent="0.2">
      <c r="A11" s="1" t="s">
        <v>66</v>
      </c>
      <c r="B11" s="14" t="s">
        <v>164</v>
      </c>
      <c r="C11" s="14" t="b">
        <f t="shared" si="0"/>
        <v>1</v>
      </c>
      <c r="D11" t="s">
        <v>173</v>
      </c>
      <c r="E11">
        <v>10</v>
      </c>
      <c r="F11" s="1" t="s">
        <v>40</v>
      </c>
      <c r="G11" s="1" t="s">
        <v>91</v>
      </c>
      <c r="H11" s="3" t="s">
        <v>40</v>
      </c>
      <c r="J11" t="s">
        <v>101</v>
      </c>
      <c r="K11" t="s">
        <v>91</v>
      </c>
      <c r="P11" s="1"/>
      <c r="Q11" t="s">
        <v>263</v>
      </c>
      <c r="R11" t="s">
        <v>264</v>
      </c>
      <c r="S11" t="s">
        <v>257</v>
      </c>
      <c r="T11" t="s">
        <v>260</v>
      </c>
      <c r="U11" t="s">
        <v>255</v>
      </c>
      <c r="V11" t="s">
        <v>265</v>
      </c>
      <c r="W11" s="8" t="s">
        <v>101</v>
      </c>
      <c r="X11" s="24" t="s">
        <v>101</v>
      </c>
      <c r="Y11" t="s">
        <v>204</v>
      </c>
    </row>
    <row r="12" spans="1:28" x14ac:dyDescent="0.2">
      <c r="A12" s="1" t="s">
        <v>80</v>
      </c>
      <c r="B12" s="14" t="s">
        <v>150</v>
      </c>
      <c r="C12" s="14" t="b">
        <f t="shared" si="0"/>
        <v>1</v>
      </c>
      <c r="D12" t="s">
        <v>174</v>
      </c>
      <c r="E12">
        <v>10</v>
      </c>
      <c r="F12" s="1" t="s">
        <v>40</v>
      </c>
      <c r="G12" s="1" t="s">
        <v>92</v>
      </c>
      <c r="H12" s="5" t="s">
        <v>2</v>
      </c>
      <c r="J12" t="s">
        <v>101</v>
      </c>
      <c r="K12" t="s">
        <v>92</v>
      </c>
      <c r="L12" s="7" t="s">
        <v>110</v>
      </c>
      <c r="M12" s="7"/>
      <c r="N12" s="7"/>
      <c r="O12" s="7"/>
      <c r="P12" s="1"/>
      <c r="Q12" t="s">
        <v>263</v>
      </c>
      <c r="R12" t="s">
        <v>264</v>
      </c>
      <c r="S12" t="s">
        <v>257</v>
      </c>
      <c r="T12" t="s">
        <v>252</v>
      </c>
      <c r="U12" t="s">
        <v>267</v>
      </c>
      <c r="V12" t="s">
        <v>252</v>
      </c>
      <c r="W12" s="8" t="s">
        <v>101</v>
      </c>
      <c r="X12" s="8" t="s">
        <v>101</v>
      </c>
      <c r="Y12" t="s">
        <v>204</v>
      </c>
      <c r="AA12" t="s">
        <v>208</v>
      </c>
    </row>
    <row r="13" spans="1:28" x14ac:dyDescent="0.2">
      <c r="A13" s="1" t="s">
        <v>47</v>
      </c>
      <c r="B13" s="13" t="s">
        <v>152</v>
      </c>
      <c r="C13" s="14" t="b">
        <f t="shared" si="0"/>
        <v>1</v>
      </c>
      <c r="F13" s="1" t="s">
        <v>40</v>
      </c>
      <c r="G13" s="1" t="s">
        <v>91</v>
      </c>
      <c r="H13" s="3" t="s">
        <v>40</v>
      </c>
      <c r="J13" t="s">
        <v>102</v>
      </c>
      <c r="K13" t="s">
        <v>92</v>
      </c>
      <c r="P13" s="1"/>
      <c r="Q13" t="s">
        <v>255</v>
      </c>
      <c r="R13" t="s">
        <v>252</v>
      </c>
      <c r="S13" t="s">
        <v>258</v>
      </c>
      <c r="T13" t="s">
        <v>260</v>
      </c>
      <c r="U13" t="s">
        <v>258</v>
      </c>
      <c r="V13" t="s">
        <v>258</v>
      </c>
      <c r="W13" t="s">
        <v>102</v>
      </c>
      <c r="X13" s="15" t="s">
        <v>102</v>
      </c>
      <c r="Y13" t="s">
        <v>204</v>
      </c>
      <c r="AB13" t="s">
        <v>212</v>
      </c>
    </row>
    <row r="14" spans="1:28" x14ac:dyDescent="0.2">
      <c r="A14" s="1" t="s">
        <v>54</v>
      </c>
      <c r="B14" s="13" t="s">
        <v>154</v>
      </c>
      <c r="C14" s="14" t="b">
        <f t="shared" si="0"/>
        <v>1</v>
      </c>
      <c r="F14" s="1" t="s">
        <v>40</v>
      </c>
      <c r="G14" s="1" t="s">
        <v>91</v>
      </c>
      <c r="H14" s="3" t="s">
        <v>40</v>
      </c>
      <c r="J14" t="s">
        <v>102</v>
      </c>
      <c r="K14" t="s">
        <v>92</v>
      </c>
      <c r="P14" s="1"/>
      <c r="Q14" t="s">
        <v>255</v>
      </c>
      <c r="R14" t="s">
        <v>252</v>
      </c>
      <c r="S14" t="s">
        <v>258</v>
      </c>
      <c r="T14" t="s">
        <v>260</v>
      </c>
      <c r="U14" t="s">
        <v>255</v>
      </c>
      <c r="V14" t="s">
        <v>269</v>
      </c>
      <c r="W14" t="s">
        <v>102</v>
      </c>
      <c r="X14" s="15" t="s">
        <v>102</v>
      </c>
      <c r="Y14" t="s">
        <v>204</v>
      </c>
    </row>
    <row r="15" spans="1:28" x14ac:dyDescent="0.2">
      <c r="A15" s="1" t="s">
        <v>59</v>
      </c>
      <c r="B15" s="14">
        <v>117</v>
      </c>
      <c r="C15" s="14" t="b">
        <f t="shared" si="0"/>
        <v>0</v>
      </c>
      <c r="D15">
        <v>10</v>
      </c>
      <c r="E15">
        <v>10</v>
      </c>
      <c r="F15" s="1" t="s">
        <v>40</v>
      </c>
      <c r="G15" s="1" t="s">
        <v>92</v>
      </c>
      <c r="H15" s="5" t="s">
        <v>21</v>
      </c>
      <c r="J15" t="s">
        <v>102</v>
      </c>
      <c r="K15" t="s">
        <v>92</v>
      </c>
      <c r="M15" t="s">
        <v>240</v>
      </c>
      <c r="N15" t="s">
        <v>110</v>
      </c>
      <c r="O15" t="s">
        <v>235</v>
      </c>
      <c r="P15" s="8" t="s">
        <v>97</v>
      </c>
      <c r="Q15" t="s">
        <v>257</v>
      </c>
      <c r="R15" t="s">
        <v>252</v>
      </c>
      <c r="S15" t="s">
        <v>257</v>
      </c>
      <c r="T15" t="s">
        <v>254</v>
      </c>
      <c r="U15" t="s">
        <v>255</v>
      </c>
      <c r="V15" t="s">
        <v>254</v>
      </c>
      <c r="W15" t="s">
        <v>102</v>
      </c>
      <c r="X15" s="15" t="s">
        <v>102</v>
      </c>
      <c r="Y15" t="s">
        <v>204</v>
      </c>
    </row>
    <row r="16" spans="1:28" x14ac:dyDescent="0.2">
      <c r="A16" s="1" t="s">
        <v>60</v>
      </c>
      <c r="B16" s="14" t="s">
        <v>166</v>
      </c>
      <c r="C16" s="14" t="b">
        <f t="shared" si="0"/>
        <v>1</v>
      </c>
      <c r="D16" t="s">
        <v>176</v>
      </c>
      <c r="E16">
        <v>10</v>
      </c>
      <c r="F16" s="1" t="s">
        <v>40</v>
      </c>
      <c r="G16" s="1" t="s">
        <v>92</v>
      </c>
      <c r="H16" s="5" t="s">
        <v>21</v>
      </c>
      <c r="J16" t="s">
        <v>102</v>
      </c>
      <c r="K16" t="s">
        <v>92</v>
      </c>
      <c r="M16" t="s">
        <v>239</v>
      </c>
      <c r="N16" t="s">
        <v>238</v>
      </c>
      <c r="O16" t="s">
        <v>239</v>
      </c>
      <c r="P16" s="8" t="s">
        <v>117</v>
      </c>
      <c r="Q16" t="s">
        <v>257</v>
      </c>
      <c r="R16" t="s">
        <v>268</v>
      </c>
      <c r="S16" t="s">
        <v>253</v>
      </c>
      <c r="T16" t="s">
        <v>252</v>
      </c>
      <c r="U16" t="s">
        <v>255</v>
      </c>
      <c r="V16" t="s">
        <v>252</v>
      </c>
      <c r="W16" t="s">
        <v>102</v>
      </c>
      <c r="X16" s="15" t="s">
        <v>102</v>
      </c>
      <c r="Y16" t="s">
        <v>204</v>
      </c>
    </row>
    <row r="17" spans="1:28" x14ac:dyDescent="0.2">
      <c r="A17" s="1" t="s">
        <v>68</v>
      </c>
      <c r="B17" s="14" t="s">
        <v>155</v>
      </c>
      <c r="C17" s="14" t="b">
        <f t="shared" si="0"/>
        <v>1</v>
      </c>
      <c r="D17" t="s">
        <v>178</v>
      </c>
      <c r="E17">
        <v>10</v>
      </c>
      <c r="F17" s="1" t="s">
        <v>40</v>
      </c>
      <c r="G17" s="1" t="s">
        <v>92</v>
      </c>
      <c r="H17" s="6" t="s">
        <v>2</v>
      </c>
      <c r="J17" t="s">
        <v>102</v>
      </c>
      <c r="K17" t="s">
        <v>92</v>
      </c>
      <c r="L17" s="7" t="s">
        <v>110</v>
      </c>
      <c r="P17" s="1"/>
      <c r="Q17" t="s">
        <v>263</v>
      </c>
      <c r="R17" t="s">
        <v>252</v>
      </c>
      <c r="S17" t="s">
        <v>257</v>
      </c>
      <c r="T17" t="s">
        <v>254</v>
      </c>
      <c r="U17" t="s">
        <v>260</v>
      </c>
      <c r="V17" t="s">
        <v>254</v>
      </c>
      <c r="W17" t="s">
        <v>102</v>
      </c>
      <c r="X17" s="15" t="s">
        <v>102</v>
      </c>
      <c r="Y17" t="s">
        <v>204</v>
      </c>
    </row>
    <row r="18" spans="1:28" x14ac:dyDescent="0.2">
      <c r="A18" s="1" t="s">
        <v>49</v>
      </c>
      <c r="B18" s="13" t="s">
        <v>158</v>
      </c>
      <c r="C18" s="14" t="b">
        <f t="shared" si="0"/>
        <v>1</v>
      </c>
      <c r="F18" s="1" t="s">
        <v>40</v>
      </c>
      <c r="G18" s="1" t="s">
        <v>91</v>
      </c>
      <c r="H18" s="3" t="s">
        <v>40</v>
      </c>
      <c r="J18" t="s">
        <v>103</v>
      </c>
      <c r="K18" t="s">
        <v>92</v>
      </c>
      <c r="P18" s="1"/>
      <c r="Q18" t="s">
        <v>260</v>
      </c>
      <c r="R18" t="s">
        <v>252</v>
      </c>
      <c r="S18" t="s">
        <v>258</v>
      </c>
      <c r="T18" t="s">
        <v>255</v>
      </c>
      <c r="U18" t="s">
        <v>258</v>
      </c>
      <c r="V18" t="s">
        <v>270</v>
      </c>
      <c r="W18" t="s">
        <v>103</v>
      </c>
      <c r="X18" s="15" t="s">
        <v>103</v>
      </c>
      <c r="Y18" t="s">
        <v>204</v>
      </c>
    </row>
    <row r="19" spans="1:28" x14ac:dyDescent="0.2">
      <c r="A19" s="1" t="s">
        <v>56</v>
      </c>
      <c r="B19" s="13">
        <v>96</v>
      </c>
      <c r="C19" s="14" t="b">
        <f t="shared" si="0"/>
        <v>0</v>
      </c>
      <c r="D19">
        <v>10</v>
      </c>
      <c r="E19">
        <v>10</v>
      </c>
      <c r="F19" s="1" t="s">
        <v>40</v>
      </c>
      <c r="G19" s="1" t="s">
        <v>91</v>
      </c>
      <c r="H19" s="3" t="s">
        <v>40</v>
      </c>
      <c r="J19" t="s">
        <v>103</v>
      </c>
      <c r="K19" t="s">
        <v>92</v>
      </c>
      <c r="P19" s="1"/>
      <c r="Q19" t="s">
        <v>260</v>
      </c>
      <c r="R19" t="s">
        <v>252</v>
      </c>
      <c r="S19" t="s">
        <v>258</v>
      </c>
      <c r="T19" t="s">
        <v>260</v>
      </c>
      <c r="U19" t="s">
        <v>258</v>
      </c>
      <c r="V19" t="s">
        <v>261</v>
      </c>
      <c r="W19" t="s">
        <v>103</v>
      </c>
      <c r="X19" s="15" t="s">
        <v>103</v>
      </c>
      <c r="Y19" t="s">
        <v>204</v>
      </c>
    </row>
    <row r="20" spans="1:28" x14ac:dyDescent="0.2">
      <c r="A20" s="1" t="s">
        <v>72</v>
      </c>
      <c r="B20" s="14">
        <v>912</v>
      </c>
      <c r="C20" s="14" t="b">
        <f t="shared" si="0"/>
        <v>0</v>
      </c>
      <c r="D20">
        <v>10</v>
      </c>
      <c r="E20">
        <v>10</v>
      </c>
      <c r="F20" s="1" t="s">
        <v>40</v>
      </c>
      <c r="G20" s="1" t="s">
        <v>91</v>
      </c>
      <c r="H20" s="3" t="s">
        <v>40</v>
      </c>
      <c r="J20" t="s">
        <v>103</v>
      </c>
      <c r="K20" t="s">
        <v>92</v>
      </c>
      <c r="P20" s="1"/>
      <c r="Q20" t="s">
        <v>273</v>
      </c>
      <c r="R20" t="s">
        <v>252</v>
      </c>
      <c r="S20" t="s">
        <v>257</v>
      </c>
      <c r="T20" t="s">
        <v>252</v>
      </c>
      <c r="U20" t="s">
        <v>270</v>
      </c>
      <c r="V20" t="s">
        <v>254</v>
      </c>
      <c r="W20" t="s">
        <v>103</v>
      </c>
      <c r="X20" s="15" t="s">
        <v>103</v>
      </c>
      <c r="Y20" t="s">
        <v>204</v>
      </c>
    </row>
    <row r="21" spans="1:28" x14ac:dyDescent="0.2">
      <c r="A21" s="1" t="s">
        <v>50</v>
      </c>
      <c r="B21" s="13">
        <v>129</v>
      </c>
      <c r="C21" s="14" t="b">
        <f t="shared" si="0"/>
        <v>0</v>
      </c>
      <c r="D21">
        <v>10</v>
      </c>
      <c r="E21">
        <v>10</v>
      </c>
      <c r="F21" s="1" t="s">
        <v>40</v>
      </c>
      <c r="G21" s="1" t="s">
        <v>91</v>
      </c>
      <c r="H21" s="3" t="s">
        <v>40</v>
      </c>
      <c r="J21" t="s">
        <v>103</v>
      </c>
      <c r="K21" t="s">
        <v>91</v>
      </c>
      <c r="P21" s="1"/>
      <c r="X21" s="9" t="s">
        <v>103</v>
      </c>
      <c r="Y21" t="s">
        <v>204</v>
      </c>
    </row>
    <row r="22" spans="1:28" x14ac:dyDescent="0.2">
      <c r="A22" s="1" t="s">
        <v>51</v>
      </c>
      <c r="B22" s="13">
        <v>70</v>
      </c>
      <c r="C22" s="14" t="b">
        <f t="shared" si="0"/>
        <v>0</v>
      </c>
      <c r="D22">
        <v>10</v>
      </c>
      <c r="E22">
        <v>10</v>
      </c>
      <c r="F22" s="1" t="s">
        <v>40</v>
      </c>
      <c r="G22" s="1" t="s">
        <v>91</v>
      </c>
      <c r="H22" s="3" t="s">
        <v>40</v>
      </c>
      <c r="J22" t="s">
        <v>103</v>
      </c>
      <c r="K22" t="s">
        <v>91</v>
      </c>
      <c r="P22" s="1"/>
      <c r="X22" s="9" t="s">
        <v>103</v>
      </c>
      <c r="Y22" t="s">
        <v>204</v>
      </c>
    </row>
    <row r="23" spans="1:28" x14ac:dyDescent="0.2">
      <c r="A23" s="1" t="s">
        <v>57</v>
      </c>
      <c r="B23" s="13">
        <v>97</v>
      </c>
      <c r="C23" s="14" t="b">
        <f t="shared" si="0"/>
        <v>0</v>
      </c>
      <c r="D23">
        <v>10</v>
      </c>
      <c r="E23">
        <v>10</v>
      </c>
      <c r="F23" s="1" t="s">
        <v>40</v>
      </c>
      <c r="G23" s="1" t="s">
        <v>91</v>
      </c>
      <c r="H23" s="3" t="s">
        <v>40</v>
      </c>
      <c r="J23" t="s">
        <v>103</v>
      </c>
      <c r="K23" t="s">
        <v>91</v>
      </c>
      <c r="P23" s="1"/>
      <c r="X23" s="9" t="s">
        <v>103</v>
      </c>
      <c r="Y23" t="s">
        <v>204</v>
      </c>
    </row>
    <row r="24" spans="1:28" x14ac:dyDescent="0.2">
      <c r="A24" s="1" t="s">
        <v>71</v>
      </c>
      <c r="B24" s="14" t="s">
        <v>159</v>
      </c>
      <c r="C24" s="14" t="b">
        <f t="shared" si="0"/>
        <v>1</v>
      </c>
      <c r="D24" t="s">
        <v>137</v>
      </c>
      <c r="E24">
        <v>10</v>
      </c>
      <c r="F24" s="1" t="s">
        <v>40</v>
      </c>
      <c r="G24" s="1" t="s">
        <v>92</v>
      </c>
      <c r="H24" s="5" t="s">
        <v>21</v>
      </c>
      <c r="J24" t="s">
        <v>103</v>
      </c>
      <c r="K24" t="s">
        <v>92</v>
      </c>
      <c r="M24" t="s">
        <v>110</v>
      </c>
      <c r="N24" t="s">
        <v>241</v>
      </c>
      <c r="O24" t="s">
        <v>242</v>
      </c>
      <c r="P24" s="8" t="s">
        <v>97</v>
      </c>
      <c r="Q24" t="s">
        <v>263</v>
      </c>
      <c r="R24" t="s">
        <v>252</v>
      </c>
      <c r="S24" t="s">
        <v>253</v>
      </c>
      <c r="T24" t="s">
        <v>255</v>
      </c>
      <c r="U24" t="s">
        <v>255</v>
      </c>
      <c r="V24" t="s">
        <v>272</v>
      </c>
      <c r="W24" t="s">
        <v>103</v>
      </c>
      <c r="X24" s="15" t="s">
        <v>103</v>
      </c>
      <c r="Y24" t="s">
        <v>204</v>
      </c>
    </row>
    <row r="25" spans="1:28" x14ac:dyDescent="0.2">
      <c r="A25" s="1" t="s">
        <v>73</v>
      </c>
      <c r="B25" s="14" t="s">
        <v>160</v>
      </c>
      <c r="C25" s="14" t="b">
        <f t="shared" si="0"/>
        <v>1</v>
      </c>
      <c r="D25" t="s">
        <v>181</v>
      </c>
      <c r="E25">
        <v>10</v>
      </c>
      <c r="F25" s="1" t="s">
        <v>40</v>
      </c>
      <c r="G25" s="1" t="s">
        <v>92</v>
      </c>
      <c r="H25" s="5" t="s">
        <v>21</v>
      </c>
      <c r="J25" t="s">
        <v>103</v>
      </c>
      <c r="K25" t="s">
        <v>92</v>
      </c>
      <c r="M25" t="s">
        <v>110</v>
      </c>
      <c r="N25" t="s">
        <v>110</v>
      </c>
      <c r="O25" t="s">
        <v>237</v>
      </c>
      <c r="P25" s="8" t="s">
        <v>97</v>
      </c>
      <c r="Q25" t="s">
        <v>263</v>
      </c>
      <c r="R25" t="s">
        <v>252</v>
      </c>
      <c r="S25" t="s">
        <v>253</v>
      </c>
      <c r="T25" t="s">
        <v>252</v>
      </c>
      <c r="U25" t="s">
        <v>255</v>
      </c>
      <c r="V25" t="s">
        <v>254</v>
      </c>
      <c r="W25" t="s">
        <v>103</v>
      </c>
      <c r="X25" s="15" t="s">
        <v>103</v>
      </c>
      <c r="Y25" t="s">
        <v>204</v>
      </c>
    </row>
    <row r="26" spans="1:28" x14ac:dyDescent="0.2">
      <c r="A26" s="1" t="s">
        <v>84</v>
      </c>
      <c r="B26" s="14" t="s">
        <v>162</v>
      </c>
      <c r="C26" s="14" t="b">
        <f t="shared" si="0"/>
        <v>1</v>
      </c>
      <c r="D26" t="s">
        <v>180</v>
      </c>
      <c r="E26">
        <v>8</v>
      </c>
      <c r="F26" s="1" t="s">
        <v>40</v>
      </c>
      <c r="G26" s="1" t="s">
        <v>92</v>
      </c>
      <c r="H26" s="5" t="s">
        <v>88</v>
      </c>
      <c r="J26" t="s">
        <v>103</v>
      </c>
      <c r="K26" t="s">
        <v>92</v>
      </c>
      <c r="L26" s="7" t="s">
        <v>110</v>
      </c>
      <c r="M26" t="s">
        <v>239</v>
      </c>
      <c r="N26" t="s">
        <v>110</v>
      </c>
      <c r="O26" t="s">
        <v>243</v>
      </c>
      <c r="P26" s="8" t="s">
        <v>117</v>
      </c>
      <c r="Q26" t="s">
        <v>257</v>
      </c>
      <c r="R26" t="s">
        <v>257</v>
      </c>
      <c r="S26" t="s">
        <v>253</v>
      </c>
      <c r="T26" t="s">
        <v>254</v>
      </c>
      <c r="U26" t="s">
        <v>260</v>
      </c>
      <c r="V26" t="s">
        <v>254</v>
      </c>
      <c r="W26" t="s">
        <v>103</v>
      </c>
      <c r="X26" s="15" t="s">
        <v>103</v>
      </c>
      <c r="Y26" t="s">
        <v>204</v>
      </c>
    </row>
    <row r="27" spans="1:28" x14ac:dyDescent="0.2">
      <c r="A27" s="1" t="s">
        <v>61</v>
      </c>
      <c r="B27" s="14" t="s">
        <v>167</v>
      </c>
      <c r="C27" s="14" t="b">
        <f t="shared" si="0"/>
        <v>1</v>
      </c>
      <c r="D27" t="s">
        <v>179</v>
      </c>
      <c r="E27">
        <v>10</v>
      </c>
      <c r="F27" s="1" t="s">
        <v>40</v>
      </c>
      <c r="G27" s="1" t="s">
        <v>92</v>
      </c>
      <c r="H27" s="5" t="s">
        <v>2</v>
      </c>
      <c r="J27" t="s">
        <v>103</v>
      </c>
      <c r="K27" t="s">
        <v>92</v>
      </c>
      <c r="L27" s="7" t="s">
        <v>110</v>
      </c>
      <c r="M27" s="7"/>
      <c r="N27" s="7"/>
      <c r="O27" s="7"/>
      <c r="P27" s="1"/>
      <c r="Q27" t="s">
        <v>251</v>
      </c>
      <c r="R27" t="s">
        <v>252</v>
      </c>
      <c r="S27" t="s">
        <v>253</v>
      </c>
      <c r="T27" t="s">
        <v>252</v>
      </c>
      <c r="U27" t="s">
        <v>255</v>
      </c>
      <c r="V27" t="s">
        <v>254</v>
      </c>
      <c r="W27" t="s">
        <v>103</v>
      </c>
      <c r="X27" s="15" t="s">
        <v>103</v>
      </c>
      <c r="Y27" t="s">
        <v>204</v>
      </c>
    </row>
    <row r="28" spans="1:28" x14ac:dyDescent="0.2">
      <c r="A28" s="1" t="s">
        <v>74</v>
      </c>
      <c r="B28" s="14" t="s">
        <v>161</v>
      </c>
      <c r="C28" s="14" t="b">
        <f t="shared" si="0"/>
        <v>1</v>
      </c>
      <c r="D28" t="s">
        <v>182</v>
      </c>
      <c r="E28">
        <v>10</v>
      </c>
      <c r="F28" s="1" t="s">
        <v>40</v>
      </c>
      <c r="G28" s="1" t="s">
        <v>92</v>
      </c>
      <c r="H28" s="5" t="s">
        <v>2</v>
      </c>
      <c r="J28" t="s">
        <v>103</v>
      </c>
      <c r="K28" t="s">
        <v>92</v>
      </c>
      <c r="L28" s="7" t="s">
        <v>112</v>
      </c>
      <c r="M28" s="7"/>
      <c r="N28" s="7"/>
      <c r="O28" s="7"/>
      <c r="P28" s="1"/>
      <c r="Q28" t="s">
        <v>263</v>
      </c>
      <c r="R28" t="s">
        <v>252</v>
      </c>
      <c r="S28" t="s">
        <v>253</v>
      </c>
      <c r="T28" t="s">
        <v>268</v>
      </c>
      <c r="U28" t="s">
        <v>271</v>
      </c>
      <c r="V28" t="s">
        <v>264</v>
      </c>
      <c r="W28" t="s">
        <v>103</v>
      </c>
      <c r="X28" s="15" t="s">
        <v>103</v>
      </c>
      <c r="Y28" t="s">
        <v>204</v>
      </c>
    </row>
    <row r="29" spans="1:28" x14ac:dyDescent="0.2">
      <c r="A29" s="1" t="s">
        <v>85</v>
      </c>
      <c r="B29" s="14" t="s">
        <v>163</v>
      </c>
      <c r="C29" s="14" t="b">
        <f t="shared" si="0"/>
        <v>0</v>
      </c>
      <c r="D29">
        <v>10</v>
      </c>
      <c r="E29">
        <v>10</v>
      </c>
      <c r="F29" s="1" t="s">
        <v>40</v>
      </c>
      <c r="G29" s="1" t="s">
        <v>92</v>
      </c>
      <c r="H29" s="5" t="s">
        <v>2</v>
      </c>
      <c r="J29" t="s">
        <v>103</v>
      </c>
      <c r="K29" t="s">
        <v>92</v>
      </c>
      <c r="L29" s="7" t="s">
        <v>110</v>
      </c>
      <c r="M29" s="7"/>
      <c r="N29" s="7"/>
      <c r="O29" s="7"/>
      <c r="Q29" t="s">
        <v>251</v>
      </c>
      <c r="R29" t="s">
        <v>252</v>
      </c>
      <c r="S29" t="s">
        <v>253</v>
      </c>
      <c r="T29" t="s">
        <v>254</v>
      </c>
      <c r="U29" t="s">
        <v>255</v>
      </c>
      <c r="V29" t="s">
        <v>254</v>
      </c>
      <c r="W29" t="s">
        <v>103</v>
      </c>
      <c r="X29" s="15" t="s">
        <v>103</v>
      </c>
      <c r="Y29" t="s">
        <v>204</v>
      </c>
    </row>
    <row r="30" spans="1:28" x14ac:dyDescent="0.2">
      <c r="A30" s="1" t="s">
        <v>28</v>
      </c>
      <c r="B30" s="14" t="s">
        <v>131</v>
      </c>
      <c r="C30" s="14" t="b">
        <f t="shared" si="0"/>
        <v>1</v>
      </c>
      <c r="D30" s="23" t="s">
        <v>139</v>
      </c>
      <c r="E30">
        <v>8.5</v>
      </c>
      <c r="F30" s="1" t="s">
        <v>21</v>
      </c>
      <c r="G30" s="1" t="s">
        <v>91</v>
      </c>
      <c r="H30" s="3" t="s">
        <v>21</v>
      </c>
      <c r="J30" t="s">
        <v>98</v>
      </c>
      <c r="K30" t="s">
        <v>91</v>
      </c>
      <c r="X30" s="9" t="s">
        <v>98</v>
      </c>
      <c r="Y30" t="s">
        <v>204</v>
      </c>
      <c r="AB30" t="s">
        <v>211</v>
      </c>
    </row>
    <row r="31" spans="1:28" x14ac:dyDescent="0.2">
      <c r="A31" s="1" t="s">
        <v>29</v>
      </c>
      <c r="B31" s="14">
        <v>948</v>
      </c>
      <c r="C31" s="14" t="b">
        <f t="shared" si="0"/>
        <v>0</v>
      </c>
      <c r="D31" s="23">
        <v>10</v>
      </c>
      <c r="E31">
        <v>10</v>
      </c>
      <c r="F31" s="1" t="s">
        <v>21</v>
      </c>
      <c r="G31" s="1" t="s">
        <v>91</v>
      </c>
      <c r="H31" s="3" t="s">
        <v>21</v>
      </c>
      <c r="J31" t="s">
        <v>98</v>
      </c>
      <c r="K31" t="s">
        <v>91</v>
      </c>
      <c r="X31" s="9" t="s">
        <v>98</v>
      </c>
      <c r="Y31" t="s">
        <v>204</v>
      </c>
    </row>
    <row r="32" spans="1:28" x14ac:dyDescent="0.2">
      <c r="A32" s="1" t="s">
        <v>30</v>
      </c>
      <c r="B32" s="14" t="s">
        <v>132</v>
      </c>
      <c r="C32" s="14" t="b">
        <f t="shared" si="0"/>
        <v>1</v>
      </c>
      <c r="D32" s="23" t="s">
        <v>138</v>
      </c>
      <c r="E32">
        <v>10</v>
      </c>
      <c r="F32" s="1" t="s">
        <v>21</v>
      </c>
      <c r="G32" s="1" t="s">
        <v>91</v>
      </c>
      <c r="H32" s="3" t="s">
        <v>21</v>
      </c>
      <c r="J32" t="s">
        <v>98</v>
      </c>
      <c r="K32" t="s">
        <v>91</v>
      </c>
      <c r="X32" s="9" t="s">
        <v>98</v>
      </c>
      <c r="Y32" t="s">
        <v>204</v>
      </c>
    </row>
    <row r="33" spans="1:25" x14ac:dyDescent="0.2">
      <c r="A33" s="1" t="s">
        <v>35</v>
      </c>
      <c r="B33" s="14">
        <v>957</v>
      </c>
      <c r="C33" s="14" t="b">
        <f t="shared" si="0"/>
        <v>0</v>
      </c>
      <c r="D33" s="23">
        <v>10</v>
      </c>
      <c r="E33">
        <v>10</v>
      </c>
      <c r="F33" s="1" t="s">
        <v>21</v>
      </c>
      <c r="G33" s="1" t="s">
        <v>92</v>
      </c>
      <c r="H33" s="5" t="s">
        <v>40</v>
      </c>
      <c r="J33" t="s">
        <v>99</v>
      </c>
      <c r="K33" t="s">
        <v>92</v>
      </c>
      <c r="M33" t="s">
        <v>110</v>
      </c>
      <c r="N33" t="s">
        <v>238</v>
      </c>
      <c r="O33" t="s">
        <v>235</v>
      </c>
      <c r="P33" t="s">
        <v>116</v>
      </c>
      <c r="Q33" t="s">
        <v>256</v>
      </c>
      <c r="R33" t="s">
        <v>252</v>
      </c>
      <c r="S33" t="s">
        <v>257</v>
      </c>
      <c r="T33" t="s">
        <v>252</v>
      </c>
      <c r="U33" t="s">
        <v>255</v>
      </c>
      <c r="V33" t="s">
        <v>252</v>
      </c>
      <c r="W33" t="s">
        <v>205</v>
      </c>
      <c r="X33" s="15" t="s">
        <v>99</v>
      </c>
      <c r="Y33" t="s">
        <v>204</v>
      </c>
    </row>
    <row r="34" spans="1:25" x14ac:dyDescent="0.2">
      <c r="A34" s="1" t="s">
        <v>32</v>
      </c>
      <c r="B34" s="14" t="s">
        <v>126</v>
      </c>
      <c r="C34" s="14" t="b">
        <f t="shared" si="0"/>
        <v>1</v>
      </c>
      <c r="D34" s="23" t="s">
        <v>133</v>
      </c>
      <c r="E34">
        <v>10</v>
      </c>
      <c r="F34" s="1" t="s">
        <v>21</v>
      </c>
      <c r="G34" s="1" t="s">
        <v>91</v>
      </c>
      <c r="H34" s="3" t="s">
        <v>21</v>
      </c>
      <c r="J34" t="s">
        <v>99</v>
      </c>
      <c r="K34" t="s">
        <v>91</v>
      </c>
      <c r="X34" s="9" t="s">
        <v>99</v>
      </c>
      <c r="Y34" t="s">
        <v>204</v>
      </c>
    </row>
    <row r="35" spans="1:25" x14ac:dyDescent="0.2">
      <c r="A35" s="1" t="s">
        <v>33</v>
      </c>
      <c r="B35" s="14" t="s">
        <v>127</v>
      </c>
      <c r="C35" s="14" t="b">
        <f t="shared" si="0"/>
        <v>1</v>
      </c>
      <c r="D35" s="23" t="s">
        <v>140</v>
      </c>
      <c r="E35">
        <v>10</v>
      </c>
      <c r="F35" s="1" t="s">
        <v>21</v>
      </c>
      <c r="G35" s="1" t="s">
        <v>91</v>
      </c>
      <c r="H35" s="3" t="s">
        <v>21</v>
      </c>
      <c r="J35" t="s">
        <v>99</v>
      </c>
      <c r="K35" t="s">
        <v>91</v>
      </c>
      <c r="X35" s="9" t="s">
        <v>99</v>
      </c>
      <c r="Y35" t="s">
        <v>204</v>
      </c>
    </row>
    <row r="36" spans="1:25" x14ac:dyDescent="0.2">
      <c r="A36" s="1" t="s">
        <v>34</v>
      </c>
      <c r="B36" s="14">
        <v>956</v>
      </c>
      <c r="C36" s="14" t="b">
        <f t="shared" si="0"/>
        <v>0</v>
      </c>
      <c r="D36" s="23">
        <v>10</v>
      </c>
      <c r="E36">
        <v>10</v>
      </c>
      <c r="F36" s="1" t="s">
        <v>21</v>
      </c>
      <c r="G36" s="1" t="s">
        <v>91</v>
      </c>
      <c r="H36" s="3" t="s">
        <v>21</v>
      </c>
      <c r="J36" t="s">
        <v>99</v>
      </c>
      <c r="K36" t="s">
        <v>91</v>
      </c>
      <c r="X36" s="9" t="s">
        <v>99</v>
      </c>
      <c r="Y36" t="s">
        <v>204</v>
      </c>
    </row>
    <row r="37" spans="1:25" x14ac:dyDescent="0.2">
      <c r="A37" s="1" t="s">
        <v>37</v>
      </c>
      <c r="B37" s="14">
        <v>959</v>
      </c>
      <c r="C37" s="14" t="b">
        <f t="shared" si="0"/>
        <v>0</v>
      </c>
      <c r="D37" s="23">
        <v>10</v>
      </c>
      <c r="E37">
        <v>10</v>
      </c>
      <c r="F37" s="1" t="s">
        <v>21</v>
      </c>
      <c r="G37" s="1" t="s">
        <v>91</v>
      </c>
      <c r="H37" s="3" t="s">
        <v>21</v>
      </c>
      <c r="J37" t="s">
        <v>99</v>
      </c>
      <c r="K37" t="s">
        <v>91</v>
      </c>
      <c r="P37" s="1"/>
      <c r="X37" s="9" t="s">
        <v>99</v>
      </c>
      <c r="Y37" t="s">
        <v>204</v>
      </c>
    </row>
    <row r="38" spans="1:25" x14ac:dyDescent="0.2">
      <c r="A38" s="1" t="s">
        <v>38</v>
      </c>
      <c r="B38" s="14" t="s">
        <v>128</v>
      </c>
      <c r="C38" s="14" t="b">
        <f t="shared" si="0"/>
        <v>1</v>
      </c>
      <c r="D38" s="23" t="s">
        <v>136</v>
      </c>
      <c r="E38">
        <v>10</v>
      </c>
      <c r="F38" s="1" t="s">
        <v>21</v>
      </c>
      <c r="G38" s="1" t="s">
        <v>91</v>
      </c>
      <c r="H38" s="3" t="s">
        <v>21</v>
      </c>
      <c r="J38" t="s">
        <v>99</v>
      </c>
      <c r="K38" t="s">
        <v>91</v>
      </c>
      <c r="P38" s="1"/>
      <c r="X38" s="9" t="s">
        <v>99</v>
      </c>
      <c r="Y38" t="s">
        <v>204</v>
      </c>
    </row>
    <row r="39" spans="1:25" x14ac:dyDescent="0.2">
      <c r="A39" s="1" t="s">
        <v>36</v>
      </c>
      <c r="B39" s="14" t="s">
        <v>125</v>
      </c>
      <c r="C39" s="14" t="b">
        <f t="shared" si="0"/>
        <v>1</v>
      </c>
      <c r="D39" s="23" t="s">
        <v>134</v>
      </c>
      <c r="E39">
        <v>10</v>
      </c>
      <c r="F39" s="1" t="s">
        <v>21</v>
      </c>
      <c r="G39" s="1" t="s">
        <v>92</v>
      </c>
      <c r="H39" s="5" t="s">
        <v>2</v>
      </c>
      <c r="J39" t="s">
        <v>99</v>
      </c>
      <c r="K39" t="s">
        <v>92</v>
      </c>
      <c r="L39" s="7" t="s">
        <v>110</v>
      </c>
      <c r="M39" t="s">
        <v>239</v>
      </c>
      <c r="N39" t="s">
        <v>234</v>
      </c>
      <c r="O39" t="s">
        <v>235</v>
      </c>
      <c r="P39" t="s">
        <v>116</v>
      </c>
      <c r="X39" s="15" t="s">
        <v>99</v>
      </c>
      <c r="Y39" t="s">
        <v>204</v>
      </c>
    </row>
    <row r="40" spans="1:25" x14ac:dyDescent="0.2">
      <c r="A40" s="1" t="s">
        <v>17</v>
      </c>
      <c r="B40" s="14">
        <v>935</v>
      </c>
      <c r="C40" s="14" t="b">
        <f t="shared" si="0"/>
        <v>0</v>
      </c>
      <c r="D40" s="23">
        <v>10</v>
      </c>
      <c r="E40">
        <v>10</v>
      </c>
      <c r="F40" s="1" t="s">
        <v>21</v>
      </c>
      <c r="G40" s="1" t="s">
        <v>91</v>
      </c>
      <c r="H40" s="3" t="s">
        <v>21</v>
      </c>
      <c r="J40" t="s">
        <v>97</v>
      </c>
      <c r="K40" t="s">
        <v>91</v>
      </c>
      <c r="W40" s="7"/>
      <c r="X40" s="9" t="s">
        <v>97</v>
      </c>
      <c r="Y40" t="s">
        <v>204</v>
      </c>
    </row>
    <row r="41" spans="1:25" x14ac:dyDescent="0.2">
      <c r="A41" s="1" t="s">
        <v>18</v>
      </c>
      <c r="B41" s="14">
        <v>936</v>
      </c>
      <c r="C41" s="14" t="b">
        <f t="shared" si="0"/>
        <v>0</v>
      </c>
      <c r="D41" s="23">
        <v>10</v>
      </c>
      <c r="E41">
        <v>10</v>
      </c>
      <c r="F41" s="1" t="s">
        <v>21</v>
      </c>
      <c r="G41" s="1" t="s">
        <v>91</v>
      </c>
      <c r="H41" s="3" t="s">
        <v>21</v>
      </c>
      <c r="J41" t="s">
        <v>97</v>
      </c>
      <c r="K41" t="s">
        <v>91</v>
      </c>
      <c r="W41" s="7"/>
      <c r="X41" s="9" t="s">
        <v>97</v>
      </c>
      <c r="Y41" t="s">
        <v>204</v>
      </c>
    </row>
    <row r="42" spans="1:25" x14ac:dyDescent="0.2">
      <c r="A42" s="1" t="s">
        <v>19</v>
      </c>
      <c r="B42" s="14">
        <v>937</v>
      </c>
      <c r="C42" s="14" t="b">
        <f t="shared" si="0"/>
        <v>0</v>
      </c>
      <c r="D42" s="23">
        <v>8</v>
      </c>
      <c r="E42">
        <v>8</v>
      </c>
      <c r="F42" s="1" t="s">
        <v>21</v>
      </c>
      <c r="G42" s="1" t="s">
        <v>91</v>
      </c>
      <c r="H42" s="3" t="s">
        <v>21</v>
      </c>
      <c r="J42" t="s">
        <v>97</v>
      </c>
      <c r="K42" t="s">
        <v>91</v>
      </c>
      <c r="W42" s="7"/>
      <c r="X42" s="9" t="s">
        <v>97</v>
      </c>
      <c r="Y42" t="s">
        <v>204</v>
      </c>
    </row>
    <row r="43" spans="1:25" x14ac:dyDescent="0.2">
      <c r="A43" s="1" t="s">
        <v>20</v>
      </c>
      <c r="B43" s="14" t="s">
        <v>122</v>
      </c>
      <c r="C43" s="14" t="b">
        <f t="shared" si="0"/>
        <v>1</v>
      </c>
      <c r="D43" s="23" t="s">
        <v>133</v>
      </c>
      <c r="E43">
        <v>10</v>
      </c>
      <c r="F43" s="1" t="s">
        <v>21</v>
      </c>
      <c r="G43" s="1" t="s">
        <v>91</v>
      </c>
      <c r="H43" s="3" t="s">
        <v>21</v>
      </c>
      <c r="J43" t="s">
        <v>97</v>
      </c>
      <c r="K43" t="s">
        <v>91</v>
      </c>
      <c r="W43" s="7"/>
      <c r="X43" s="9" t="s">
        <v>97</v>
      </c>
      <c r="Y43" t="s">
        <v>204</v>
      </c>
    </row>
    <row r="44" spans="1:25" x14ac:dyDescent="0.2">
      <c r="A44" s="1" t="s">
        <v>22</v>
      </c>
      <c r="B44" s="14" t="s">
        <v>123</v>
      </c>
      <c r="C44" s="14" t="b">
        <f t="shared" si="0"/>
        <v>1</v>
      </c>
      <c r="D44" s="23" t="s">
        <v>134</v>
      </c>
      <c r="E44">
        <v>10</v>
      </c>
      <c r="F44" s="1" t="s">
        <v>21</v>
      </c>
      <c r="G44" s="1" t="s">
        <v>91</v>
      </c>
      <c r="H44" s="3" t="s">
        <v>21</v>
      </c>
      <c r="J44" t="s">
        <v>97</v>
      </c>
      <c r="K44" t="s">
        <v>91</v>
      </c>
      <c r="X44" s="9" t="s">
        <v>97</v>
      </c>
      <c r="Y44" t="s">
        <v>204</v>
      </c>
    </row>
    <row r="45" spans="1:25" x14ac:dyDescent="0.2">
      <c r="A45" s="1" t="s">
        <v>23</v>
      </c>
      <c r="B45" s="14" t="s">
        <v>124</v>
      </c>
      <c r="C45" s="14" t="b">
        <f t="shared" si="0"/>
        <v>1</v>
      </c>
      <c r="D45" s="23" t="s">
        <v>135</v>
      </c>
      <c r="E45">
        <v>10</v>
      </c>
      <c r="F45" s="1" t="s">
        <v>21</v>
      </c>
      <c r="G45" s="1" t="s">
        <v>91</v>
      </c>
      <c r="H45" s="3" t="s">
        <v>21</v>
      </c>
      <c r="J45" t="s">
        <v>97</v>
      </c>
      <c r="K45" t="s">
        <v>91</v>
      </c>
      <c r="X45" s="9" t="s">
        <v>97</v>
      </c>
      <c r="Y45" t="s">
        <v>204</v>
      </c>
    </row>
    <row r="46" spans="1:25" x14ac:dyDescent="0.2">
      <c r="A46" s="1" t="s">
        <v>24</v>
      </c>
      <c r="B46" s="14">
        <v>941</v>
      </c>
      <c r="C46" s="14" t="b">
        <f t="shared" si="0"/>
        <v>0</v>
      </c>
      <c r="D46" s="23">
        <v>10</v>
      </c>
      <c r="E46">
        <v>10</v>
      </c>
      <c r="F46" s="1" t="s">
        <v>21</v>
      </c>
      <c r="G46" s="1" t="s">
        <v>91</v>
      </c>
      <c r="H46" s="3" t="s">
        <v>21</v>
      </c>
      <c r="J46" t="s">
        <v>97</v>
      </c>
      <c r="K46" t="s">
        <v>91</v>
      </c>
      <c r="X46" s="9" t="s">
        <v>97</v>
      </c>
      <c r="Y46" t="s">
        <v>204</v>
      </c>
    </row>
    <row r="47" spans="1:25" x14ac:dyDescent="0.2">
      <c r="A47" s="1" t="s">
        <v>25</v>
      </c>
      <c r="B47" s="14">
        <v>942</v>
      </c>
      <c r="C47" s="14" t="b">
        <f t="shared" si="0"/>
        <v>0</v>
      </c>
      <c r="D47" s="23">
        <v>10</v>
      </c>
      <c r="E47">
        <v>10</v>
      </c>
      <c r="F47" s="1" t="s">
        <v>21</v>
      </c>
      <c r="G47" s="1" t="s">
        <v>91</v>
      </c>
      <c r="H47" s="3" t="s">
        <v>21</v>
      </c>
      <c r="J47" t="s">
        <v>97</v>
      </c>
      <c r="K47" t="s">
        <v>91</v>
      </c>
      <c r="X47" s="9" t="s">
        <v>97</v>
      </c>
      <c r="Y47" t="s">
        <v>204</v>
      </c>
    </row>
    <row r="48" spans="1:25" x14ac:dyDescent="0.2">
      <c r="A48" s="1" t="s">
        <v>26</v>
      </c>
      <c r="B48" s="14">
        <v>943</v>
      </c>
      <c r="C48" s="14" t="b">
        <f t="shared" si="0"/>
        <v>0</v>
      </c>
      <c r="D48" s="23">
        <v>10</v>
      </c>
      <c r="E48">
        <v>10</v>
      </c>
      <c r="F48" s="1" t="s">
        <v>21</v>
      </c>
      <c r="G48" s="1" t="s">
        <v>91</v>
      </c>
      <c r="H48" s="3" t="s">
        <v>21</v>
      </c>
      <c r="J48" t="s">
        <v>97</v>
      </c>
      <c r="K48" t="s">
        <v>91</v>
      </c>
      <c r="X48" s="9" t="s">
        <v>97</v>
      </c>
      <c r="Y48" t="s">
        <v>204</v>
      </c>
    </row>
    <row r="49" spans="1:27" x14ac:dyDescent="0.2">
      <c r="A49" s="1" t="s">
        <v>1</v>
      </c>
      <c r="B49" s="14" t="s">
        <v>183</v>
      </c>
      <c r="C49" s="14" t="b">
        <f t="shared" si="0"/>
        <v>1</v>
      </c>
      <c r="D49" s="23">
        <v>10</v>
      </c>
      <c r="E49">
        <v>10</v>
      </c>
      <c r="F49" s="1" t="s">
        <v>2</v>
      </c>
      <c r="G49" s="1" t="s">
        <v>91</v>
      </c>
      <c r="H49" s="3" t="s">
        <v>2</v>
      </c>
      <c r="J49" t="s">
        <v>95</v>
      </c>
      <c r="K49" t="s">
        <v>91</v>
      </c>
      <c r="X49" s="9" t="s">
        <v>95</v>
      </c>
      <c r="Y49" t="s">
        <v>204</v>
      </c>
    </row>
    <row r="50" spans="1:27" x14ac:dyDescent="0.2">
      <c r="A50" s="1" t="s">
        <v>4</v>
      </c>
      <c r="B50" s="14" t="s">
        <v>193</v>
      </c>
      <c r="C50" s="14" t="b">
        <f t="shared" si="0"/>
        <v>1</v>
      </c>
      <c r="D50" s="23" t="s">
        <v>172</v>
      </c>
      <c r="E50">
        <v>10</v>
      </c>
      <c r="F50" s="1" t="s">
        <v>2</v>
      </c>
      <c r="G50" s="1" t="s">
        <v>91</v>
      </c>
      <c r="H50" s="3" t="s">
        <v>2</v>
      </c>
      <c r="J50" t="s">
        <v>95</v>
      </c>
      <c r="K50" t="s">
        <v>91</v>
      </c>
      <c r="W50" s="7"/>
      <c r="X50" s="9" t="s">
        <v>95</v>
      </c>
      <c r="Y50" t="s">
        <v>204</v>
      </c>
      <c r="AA50" s="7"/>
    </row>
    <row r="51" spans="1:27" x14ac:dyDescent="0.2">
      <c r="A51" s="1" t="s">
        <v>5</v>
      </c>
      <c r="B51" s="14" t="s">
        <v>184</v>
      </c>
      <c r="C51" s="14" t="b">
        <f t="shared" si="0"/>
        <v>1</v>
      </c>
      <c r="D51" s="23" t="s">
        <v>172</v>
      </c>
      <c r="E51">
        <v>10</v>
      </c>
      <c r="F51" s="1" t="s">
        <v>2</v>
      </c>
      <c r="G51" s="1" t="s">
        <v>91</v>
      </c>
      <c r="H51" s="3" t="s">
        <v>2</v>
      </c>
      <c r="J51" t="s">
        <v>95</v>
      </c>
      <c r="K51" t="s">
        <v>91</v>
      </c>
      <c r="W51" s="7"/>
      <c r="X51" s="9" t="s">
        <v>95</v>
      </c>
      <c r="Y51" t="s">
        <v>204</v>
      </c>
    </row>
    <row r="52" spans="1:27" x14ac:dyDescent="0.2">
      <c r="A52" s="1" t="s">
        <v>6</v>
      </c>
      <c r="B52" s="14" t="s">
        <v>185</v>
      </c>
      <c r="C52" s="14" t="b">
        <f t="shared" si="0"/>
        <v>1</v>
      </c>
      <c r="D52" s="23" t="s">
        <v>194</v>
      </c>
      <c r="E52">
        <v>10</v>
      </c>
      <c r="F52" s="1" t="s">
        <v>2</v>
      </c>
      <c r="G52" s="1" t="s">
        <v>92</v>
      </c>
      <c r="H52" s="4" t="s">
        <v>2</v>
      </c>
      <c r="J52" t="s">
        <v>95</v>
      </c>
      <c r="K52" t="s">
        <v>91</v>
      </c>
      <c r="W52" s="7"/>
      <c r="X52" s="9" t="s">
        <v>95</v>
      </c>
      <c r="Y52" t="s">
        <v>204</v>
      </c>
    </row>
    <row r="53" spans="1:27" x14ac:dyDescent="0.2">
      <c r="A53" s="1" t="s">
        <v>7</v>
      </c>
      <c r="B53" s="14" t="s">
        <v>186</v>
      </c>
      <c r="C53" s="14" t="b">
        <f t="shared" si="0"/>
        <v>1</v>
      </c>
      <c r="D53" s="23" t="s">
        <v>195</v>
      </c>
      <c r="E53">
        <v>8.5</v>
      </c>
      <c r="F53" s="1" t="s">
        <v>2</v>
      </c>
      <c r="G53" s="1" t="s">
        <v>91</v>
      </c>
      <c r="H53" s="3" t="s">
        <v>2</v>
      </c>
      <c r="J53" t="s">
        <v>95</v>
      </c>
      <c r="K53" t="s">
        <v>91</v>
      </c>
      <c r="W53" s="7"/>
      <c r="X53" s="9" t="s">
        <v>95</v>
      </c>
      <c r="Y53" t="s">
        <v>204</v>
      </c>
    </row>
    <row r="54" spans="1:27" x14ac:dyDescent="0.2">
      <c r="A54" s="1" t="s">
        <v>9</v>
      </c>
      <c r="B54" s="14" t="s">
        <v>187</v>
      </c>
      <c r="C54" s="14" t="b">
        <f t="shared" si="0"/>
        <v>1</v>
      </c>
      <c r="D54" s="23" t="s">
        <v>196</v>
      </c>
      <c r="E54">
        <v>10</v>
      </c>
      <c r="F54" s="1" t="s">
        <v>2</v>
      </c>
      <c r="G54" s="1" t="s">
        <v>91</v>
      </c>
      <c r="H54" s="3" t="s">
        <v>2</v>
      </c>
      <c r="J54" t="s">
        <v>95</v>
      </c>
      <c r="K54" t="s">
        <v>91</v>
      </c>
      <c r="W54" s="7"/>
      <c r="X54" s="9" t="s">
        <v>95</v>
      </c>
      <c r="Y54" t="s">
        <v>204</v>
      </c>
    </row>
    <row r="55" spans="1:27" x14ac:dyDescent="0.2">
      <c r="A55" s="1" t="s">
        <v>86</v>
      </c>
      <c r="B55" s="14" t="s">
        <v>192</v>
      </c>
      <c r="C55" s="14" t="b">
        <f t="shared" si="0"/>
        <v>1</v>
      </c>
      <c r="D55" s="23" t="s">
        <v>182</v>
      </c>
      <c r="E55">
        <v>10</v>
      </c>
      <c r="F55" s="1" t="s">
        <v>2</v>
      </c>
      <c r="G55" s="1" t="s">
        <v>92</v>
      </c>
      <c r="H55" s="5" t="s">
        <v>89</v>
      </c>
      <c r="J55" t="s">
        <v>96</v>
      </c>
      <c r="K55" t="s">
        <v>92</v>
      </c>
      <c r="L55" s="7" t="s">
        <v>111</v>
      </c>
      <c r="M55" t="s">
        <v>110</v>
      </c>
      <c r="N55" t="s">
        <v>110</v>
      </c>
      <c r="O55" t="s">
        <v>235</v>
      </c>
      <c r="P55" t="s">
        <v>96</v>
      </c>
      <c r="Q55" t="s">
        <v>274</v>
      </c>
      <c r="R55" t="s">
        <v>252</v>
      </c>
      <c r="S55" t="s">
        <v>257</v>
      </c>
      <c r="T55" t="s">
        <v>252</v>
      </c>
      <c r="U55" t="s">
        <v>255</v>
      </c>
      <c r="V55" t="s">
        <v>264</v>
      </c>
      <c r="W55" t="s">
        <v>96</v>
      </c>
      <c r="X55" s="15" t="s">
        <v>96</v>
      </c>
      <c r="Y55" t="s">
        <v>204</v>
      </c>
    </row>
    <row r="56" spans="1:27" x14ac:dyDescent="0.2">
      <c r="A56" s="1" t="s">
        <v>10</v>
      </c>
      <c r="B56" s="14" t="s">
        <v>189</v>
      </c>
      <c r="C56" s="14" t="b">
        <f t="shared" si="0"/>
        <v>1</v>
      </c>
      <c r="D56" s="23" t="s">
        <v>198</v>
      </c>
      <c r="E56">
        <v>10</v>
      </c>
      <c r="F56" s="1" t="s">
        <v>2</v>
      </c>
      <c r="G56" s="1" t="s">
        <v>92</v>
      </c>
      <c r="H56" s="5" t="s">
        <v>21</v>
      </c>
      <c r="J56" t="s">
        <v>96</v>
      </c>
      <c r="K56" t="s">
        <v>92</v>
      </c>
      <c r="L56" s="7" t="s">
        <v>113</v>
      </c>
      <c r="M56" t="s">
        <v>110</v>
      </c>
      <c r="N56" t="s">
        <v>110</v>
      </c>
      <c r="O56" t="s">
        <v>235</v>
      </c>
      <c r="P56" t="s">
        <v>96</v>
      </c>
      <c r="W56" s="7"/>
      <c r="X56" s="10" t="s">
        <v>96</v>
      </c>
      <c r="Y56" t="s">
        <v>204</v>
      </c>
    </row>
    <row r="57" spans="1:27" x14ac:dyDescent="0.2">
      <c r="A57" s="1" t="s">
        <v>3</v>
      </c>
      <c r="B57" s="14">
        <v>3297</v>
      </c>
      <c r="C57" s="14" t="b">
        <f t="shared" si="0"/>
        <v>0</v>
      </c>
      <c r="D57" s="23">
        <v>10</v>
      </c>
      <c r="E57">
        <v>10</v>
      </c>
      <c r="F57" s="1" t="s">
        <v>2</v>
      </c>
      <c r="G57" s="1" t="s">
        <v>91</v>
      </c>
      <c r="H57" s="3" t="s">
        <v>2</v>
      </c>
      <c r="J57" t="s">
        <v>96</v>
      </c>
      <c r="K57" t="s">
        <v>91</v>
      </c>
      <c r="X57" s="9" t="s">
        <v>96</v>
      </c>
      <c r="Y57" t="s">
        <v>204</v>
      </c>
    </row>
    <row r="58" spans="1:27" x14ac:dyDescent="0.2">
      <c r="A58" s="1" t="s">
        <v>8</v>
      </c>
      <c r="B58" s="14" t="s">
        <v>188</v>
      </c>
      <c r="C58" s="14" t="b">
        <f t="shared" si="0"/>
        <v>1</v>
      </c>
      <c r="D58" s="23" t="s">
        <v>197</v>
      </c>
      <c r="E58">
        <v>8.5</v>
      </c>
      <c r="F58" s="1" t="s">
        <v>2</v>
      </c>
      <c r="G58" s="1" t="s">
        <v>91</v>
      </c>
      <c r="H58" s="3" t="s">
        <v>2</v>
      </c>
      <c r="J58" t="s">
        <v>96</v>
      </c>
      <c r="K58" t="s">
        <v>91</v>
      </c>
      <c r="W58" s="7"/>
      <c r="X58" s="9" t="s">
        <v>96</v>
      </c>
      <c r="Y58" t="s">
        <v>204</v>
      </c>
    </row>
    <row r="59" spans="1:27" x14ac:dyDescent="0.2">
      <c r="A59" s="1" t="s">
        <v>11</v>
      </c>
      <c r="B59" s="14" t="s">
        <v>190</v>
      </c>
      <c r="C59" s="14" t="b">
        <f t="shared" si="0"/>
        <v>1</v>
      </c>
      <c r="D59" s="23" t="s">
        <v>199</v>
      </c>
      <c r="E59">
        <v>10</v>
      </c>
      <c r="F59" s="1" t="s">
        <v>2</v>
      </c>
      <c r="G59" s="1" t="s">
        <v>91</v>
      </c>
      <c r="H59" s="3" t="s">
        <v>2</v>
      </c>
      <c r="J59" t="s">
        <v>96</v>
      </c>
      <c r="K59" t="s">
        <v>106</v>
      </c>
      <c r="W59" s="7"/>
      <c r="X59" s="9" t="s">
        <v>96</v>
      </c>
      <c r="Y59" t="s">
        <v>204</v>
      </c>
    </row>
    <row r="60" spans="1:27" x14ac:dyDescent="0.2">
      <c r="A60" s="1" t="s">
        <v>12</v>
      </c>
      <c r="B60" s="14" t="s">
        <v>191</v>
      </c>
      <c r="C60" s="14" t="b">
        <f t="shared" si="0"/>
        <v>1</v>
      </c>
      <c r="D60" s="23" t="s">
        <v>135</v>
      </c>
      <c r="E60">
        <v>10</v>
      </c>
      <c r="F60" s="1" t="s">
        <v>2</v>
      </c>
      <c r="G60" s="1" t="s">
        <v>91</v>
      </c>
      <c r="H60" s="3" t="s">
        <v>2</v>
      </c>
      <c r="J60" t="s">
        <v>96</v>
      </c>
      <c r="K60" t="s">
        <v>91</v>
      </c>
      <c r="W60" s="7"/>
      <c r="X60" s="9" t="s">
        <v>96</v>
      </c>
      <c r="Y60" t="s">
        <v>204</v>
      </c>
    </row>
    <row r="61" spans="1:27" x14ac:dyDescent="0.2">
      <c r="A61" s="1" t="s">
        <v>13</v>
      </c>
      <c r="B61" s="14">
        <v>3679</v>
      </c>
      <c r="C61" s="14" t="b">
        <f t="shared" si="0"/>
        <v>0</v>
      </c>
      <c r="D61" s="23">
        <v>10</v>
      </c>
      <c r="E61">
        <v>10</v>
      </c>
      <c r="F61" s="1" t="s">
        <v>2</v>
      </c>
      <c r="G61" s="1" t="s">
        <v>91</v>
      </c>
      <c r="H61" s="3" t="s">
        <v>2</v>
      </c>
      <c r="J61" t="s">
        <v>96</v>
      </c>
      <c r="K61" t="s">
        <v>91</v>
      </c>
      <c r="W61" s="7"/>
      <c r="X61" s="9" t="s">
        <v>96</v>
      </c>
      <c r="Y61" t="s">
        <v>204</v>
      </c>
    </row>
    <row r="62" spans="1:27" x14ac:dyDescent="0.2">
      <c r="A62" s="1" t="s">
        <v>15</v>
      </c>
      <c r="B62" s="14">
        <v>3681</v>
      </c>
      <c r="C62" s="14" t="b">
        <f t="shared" si="0"/>
        <v>0</v>
      </c>
      <c r="D62" s="23">
        <v>10</v>
      </c>
      <c r="E62">
        <v>10</v>
      </c>
      <c r="F62" s="1" t="s">
        <v>2</v>
      </c>
      <c r="G62" s="1" t="s">
        <v>91</v>
      </c>
      <c r="H62" s="3" t="s">
        <v>2</v>
      </c>
      <c r="J62" t="s">
        <v>96</v>
      </c>
      <c r="K62" t="s">
        <v>91</v>
      </c>
      <c r="W62" s="7"/>
      <c r="X62" s="9" t="s">
        <v>96</v>
      </c>
      <c r="Y62" t="s">
        <v>204</v>
      </c>
    </row>
    <row r="63" spans="1:27" x14ac:dyDescent="0.2">
      <c r="A63" s="1" t="s">
        <v>14</v>
      </c>
      <c r="B63" s="13" t="s">
        <v>201</v>
      </c>
      <c r="C63" s="14" t="b">
        <f t="shared" si="0"/>
        <v>1</v>
      </c>
      <c r="D63" s="23" t="s">
        <v>200</v>
      </c>
      <c r="E63">
        <v>8.5</v>
      </c>
      <c r="F63" s="1" t="s">
        <v>2</v>
      </c>
      <c r="G63" s="1" t="s">
        <v>92</v>
      </c>
      <c r="H63" s="5" t="s">
        <v>21</v>
      </c>
      <c r="J63" t="s">
        <v>96</v>
      </c>
      <c r="K63" t="s">
        <v>92</v>
      </c>
      <c r="L63" s="7" t="s">
        <v>114</v>
      </c>
      <c r="M63" t="s">
        <v>110</v>
      </c>
      <c r="N63" t="s">
        <v>244</v>
      </c>
      <c r="O63" t="s">
        <v>235</v>
      </c>
      <c r="P63" t="s">
        <v>96</v>
      </c>
      <c r="W63" s="7"/>
      <c r="X63" s="8" t="s">
        <v>202</v>
      </c>
      <c r="Y63" t="s">
        <v>213</v>
      </c>
      <c r="Z63" t="s">
        <v>202</v>
      </c>
    </row>
    <row r="64" spans="1:27" x14ac:dyDescent="0.2">
      <c r="A64" s="1" t="s">
        <v>39</v>
      </c>
      <c r="B64" s="13" t="s">
        <v>141</v>
      </c>
      <c r="C64" s="14" t="b">
        <f t="shared" si="0"/>
        <v>1</v>
      </c>
      <c r="F64" s="1" t="s">
        <v>40</v>
      </c>
      <c r="G64" s="1" t="s">
        <v>91</v>
      </c>
      <c r="H64" s="3" t="s">
        <v>40</v>
      </c>
      <c r="J64" t="s">
        <v>100</v>
      </c>
      <c r="K64" t="s">
        <v>92</v>
      </c>
      <c r="P64" s="1"/>
      <c r="Q64" t="s">
        <v>255</v>
      </c>
      <c r="R64" t="s">
        <v>252</v>
      </c>
      <c r="S64" t="s">
        <v>261</v>
      </c>
      <c r="T64" t="s">
        <v>260</v>
      </c>
      <c r="U64" t="s">
        <v>255</v>
      </c>
      <c r="V64" t="s">
        <v>258</v>
      </c>
      <c r="W64" s="8" t="s">
        <v>118</v>
      </c>
      <c r="X64" s="25" t="s">
        <v>101</v>
      </c>
      <c r="Y64" t="s">
        <v>203</v>
      </c>
      <c r="AA64" t="s">
        <v>207</v>
      </c>
    </row>
    <row r="65" spans="1:27" x14ac:dyDescent="0.2">
      <c r="A65" s="1" t="s">
        <v>42</v>
      </c>
      <c r="B65" s="13">
        <v>105</v>
      </c>
      <c r="C65" s="14" t="b">
        <f t="shared" si="0"/>
        <v>0</v>
      </c>
      <c r="D65">
        <v>10</v>
      </c>
      <c r="E65">
        <v>10</v>
      </c>
      <c r="F65" s="1" t="s">
        <v>40</v>
      </c>
      <c r="G65" s="1" t="s">
        <v>91</v>
      </c>
      <c r="H65" s="3" t="s">
        <v>40</v>
      </c>
      <c r="J65" t="s">
        <v>100</v>
      </c>
      <c r="K65" t="s">
        <v>92</v>
      </c>
      <c r="P65" s="1"/>
      <c r="Q65" t="s">
        <v>260</v>
      </c>
      <c r="R65" t="s">
        <v>252</v>
      </c>
      <c r="S65" t="s">
        <v>258</v>
      </c>
      <c r="T65" t="s">
        <v>260</v>
      </c>
      <c r="U65" t="s">
        <v>261</v>
      </c>
      <c r="V65" t="s">
        <v>258</v>
      </c>
      <c r="W65" s="8" t="s">
        <v>118</v>
      </c>
      <c r="X65" s="8" t="s">
        <v>118</v>
      </c>
      <c r="Y65" t="s">
        <v>203</v>
      </c>
      <c r="AA65" t="s">
        <v>207</v>
      </c>
    </row>
    <row r="66" spans="1:27" x14ac:dyDescent="0.2">
      <c r="A66" s="1" t="s">
        <v>43</v>
      </c>
      <c r="B66" s="13">
        <v>106</v>
      </c>
      <c r="C66" s="14" t="b">
        <f t="shared" si="0"/>
        <v>0</v>
      </c>
      <c r="D66">
        <v>10</v>
      </c>
      <c r="E66">
        <v>10</v>
      </c>
      <c r="F66" s="1" t="s">
        <v>40</v>
      </c>
      <c r="G66" s="1" t="s">
        <v>91</v>
      </c>
      <c r="H66" s="3" t="s">
        <v>40</v>
      </c>
      <c r="J66" t="s">
        <v>100</v>
      </c>
      <c r="K66" t="s">
        <v>92</v>
      </c>
      <c r="P66" s="1"/>
      <c r="Q66" t="s">
        <v>260</v>
      </c>
      <c r="R66" t="s">
        <v>252</v>
      </c>
      <c r="S66" t="s">
        <v>258</v>
      </c>
      <c r="T66" t="s">
        <v>262</v>
      </c>
      <c r="U66" t="s">
        <v>258</v>
      </c>
      <c r="V66" t="s">
        <v>258</v>
      </c>
      <c r="W66" s="8" t="s">
        <v>118</v>
      </c>
      <c r="X66" s="25" t="s">
        <v>102</v>
      </c>
      <c r="Y66" t="s">
        <v>203</v>
      </c>
      <c r="AA66" t="s">
        <v>207</v>
      </c>
    </row>
    <row r="67" spans="1:27" x14ac:dyDescent="0.2">
      <c r="A67" s="1" t="s">
        <v>52</v>
      </c>
      <c r="B67" s="13" t="s">
        <v>142</v>
      </c>
      <c r="C67" s="14" t="b">
        <f t="shared" si="0"/>
        <v>1</v>
      </c>
      <c r="F67" s="1" t="s">
        <v>40</v>
      </c>
      <c r="G67" s="1" t="s">
        <v>91</v>
      </c>
      <c r="H67" s="3" t="s">
        <v>40</v>
      </c>
      <c r="J67" t="s">
        <v>100</v>
      </c>
      <c r="K67" t="s">
        <v>92</v>
      </c>
      <c r="P67" s="1"/>
      <c r="Q67" t="s">
        <v>255</v>
      </c>
      <c r="R67" t="s">
        <v>252</v>
      </c>
      <c r="S67" t="s">
        <v>258</v>
      </c>
      <c r="T67" t="s">
        <v>259</v>
      </c>
      <c r="U67" t="s">
        <v>255</v>
      </c>
      <c r="V67" t="s">
        <v>252</v>
      </c>
      <c r="W67" s="8" t="s">
        <v>118</v>
      </c>
      <c r="X67" s="25" t="s">
        <v>101</v>
      </c>
      <c r="Y67" t="s">
        <v>203</v>
      </c>
      <c r="AA67" t="s">
        <v>207</v>
      </c>
    </row>
    <row r="68" spans="1:27" x14ac:dyDescent="0.2">
      <c r="A68" s="1" t="s">
        <v>81</v>
      </c>
      <c r="B68" s="14" t="s">
        <v>151</v>
      </c>
      <c r="C68" s="14" t="b">
        <f t="shared" ref="C68:C84" si="1">SUM(LEN(B68)-LEN(SUBSTITUTE(B68,"+","")))/LEN("+") &gt;= 1</f>
        <v>1</v>
      </c>
      <c r="D68" t="s">
        <v>175</v>
      </c>
      <c r="E68">
        <v>9.5</v>
      </c>
      <c r="F68" s="1" t="s">
        <v>40</v>
      </c>
      <c r="G68" s="1" t="s">
        <v>92</v>
      </c>
      <c r="H68" s="4" t="s">
        <v>40</v>
      </c>
      <c r="J68" t="s">
        <v>101</v>
      </c>
      <c r="K68" t="s">
        <v>92</v>
      </c>
      <c r="P68" s="1"/>
      <c r="Q68" t="s">
        <v>263</v>
      </c>
      <c r="R68" t="s">
        <v>252</v>
      </c>
      <c r="S68" t="s">
        <v>257</v>
      </c>
      <c r="T68" t="s">
        <v>268</v>
      </c>
      <c r="U68" t="s">
        <v>255</v>
      </c>
      <c r="V68" t="s">
        <v>264</v>
      </c>
      <c r="W68" s="8" t="s">
        <v>100</v>
      </c>
      <c r="X68" s="25" t="s">
        <v>100</v>
      </c>
      <c r="Y68" t="s">
        <v>203</v>
      </c>
      <c r="Z68" t="s">
        <v>100</v>
      </c>
      <c r="AA68" t="s">
        <v>208</v>
      </c>
    </row>
    <row r="69" spans="1:27" x14ac:dyDescent="0.2">
      <c r="A69" s="1" t="s">
        <v>76</v>
      </c>
      <c r="B69" s="14" t="s">
        <v>149</v>
      </c>
      <c r="C69" s="14" t="b">
        <f t="shared" si="1"/>
        <v>0</v>
      </c>
      <c r="D69">
        <v>10</v>
      </c>
      <c r="E69">
        <v>10</v>
      </c>
      <c r="F69" s="1" t="s">
        <v>40</v>
      </c>
      <c r="G69" s="1" t="s">
        <v>92</v>
      </c>
      <c r="H69" s="5" t="s">
        <v>2</v>
      </c>
      <c r="J69" t="s">
        <v>101</v>
      </c>
      <c r="K69" t="s">
        <v>92</v>
      </c>
      <c r="L69" t="s">
        <v>111</v>
      </c>
      <c r="P69" s="1"/>
      <c r="Q69" t="s">
        <v>263</v>
      </c>
      <c r="R69" t="s">
        <v>266</v>
      </c>
      <c r="S69" t="s">
        <v>253</v>
      </c>
      <c r="T69" t="s">
        <v>252</v>
      </c>
      <c r="U69" t="s">
        <v>255</v>
      </c>
      <c r="V69" t="s">
        <v>254</v>
      </c>
      <c r="W69" s="8" t="s">
        <v>100</v>
      </c>
      <c r="X69" s="25" t="s">
        <v>100</v>
      </c>
      <c r="Y69" t="s">
        <v>203</v>
      </c>
      <c r="Z69" t="s">
        <v>100</v>
      </c>
      <c r="AA69" t="s">
        <v>208</v>
      </c>
    </row>
    <row r="70" spans="1:27" x14ac:dyDescent="0.2">
      <c r="A70" s="1" t="s">
        <v>83</v>
      </c>
      <c r="B70" s="14" t="s">
        <v>157</v>
      </c>
      <c r="C70" s="14" t="b">
        <f t="shared" si="1"/>
        <v>0</v>
      </c>
      <c r="D70">
        <v>9</v>
      </c>
      <c r="E70">
        <v>9</v>
      </c>
      <c r="F70" s="1" t="s">
        <v>40</v>
      </c>
      <c r="G70" s="1" t="s">
        <v>92</v>
      </c>
      <c r="H70" s="5" t="s">
        <v>21</v>
      </c>
      <c r="J70" t="s">
        <v>102</v>
      </c>
      <c r="K70" t="s">
        <v>92</v>
      </c>
      <c r="M70" t="s">
        <v>110</v>
      </c>
      <c r="N70" t="s">
        <v>110</v>
      </c>
      <c r="O70" t="s">
        <v>239</v>
      </c>
      <c r="P70" s="8" t="s">
        <v>97</v>
      </c>
      <c r="Q70" t="s">
        <v>253</v>
      </c>
      <c r="R70" t="s">
        <v>257</v>
      </c>
      <c r="S70" t="s">
        <v>257</v>
      </c>
      <c r="T70" t="s">
        <v>254</v>
      </c>
      <c r="U70" t="s">
        <v>255</v>
      </c>
      <c r="V70" t="s">
        <v>254</v>
      </c>
      <c r="W70" s="8" t="s">
        <v>100</v>
      </c>
      <c r="X70" s="25" t="s">
        <v>100</v>
      </c>
      <c r="Y70" t="s">
        <v>203</v>
      </c>
      <c r="Z70" t="s">
        <v>100</v>
      </c>
      <c r="AA70" t="s">
        <v>208</v>
      </c>
    </row>
    <row r="71" spans="1:27" x14ac:dyDescent="0.2">
      <c r="A71" s="1" t="s">
        <v>31</v>
      </c>
      <c r="B71" s="14" t="s">
        <v>130</v>
      </c>
      <c r="C71" s="14" t="b">
        <f t="shared" si="1"/>
        <v>1</v>
      </c>
      <c r="D71" t="s">
        <v>137</v>
      </c>
      <c r="E71">
        <v>10</v>
      </c>
      <c r="F71" s="1" t="s">
        <v>21</v>
      </c>
      <c r="G71" s="1" t="s">
        <v>92</v>
      </c>
      <c r="H71" s="5" t="s">
        <v>40</v>
      </c>
      <c r="J71" t="s">
        <v>98</v>
      </c>
      <c r="K71" t="s">
        <v>92</v>
      </c>
      <c r="M71" t="s">
        <v>110</v>
      </c>
      <c r="N71" t="s">
        <v>236</v>
      </c>
      <c r="O71" t="s">
        <v>237</v>
      </c>
      <c r="P71" t="s">
        <v>97</v>
      </c>
      <c r="Q71" t="s">
        <v>251</v>
      </c>
      <c r="R71" t="s">
        <v>252</v>
      </c>
      <c r="S71" t="s">
        <v>253</v>
      </c>
      <c r="T71" t="s">
        <v>254</v>
      </c>
      <c r="U71" t="s">
        <v>255</v>
      </c>
      <c r="V71" t="s">
        <v>252</v>
      </c>
      <c r="W71" t="s">
        <v>205</v>
      </c>
      <c r="X71" s="8" t="s">
        <v>275</v>
      </c>
      <c r="Y71" t="s">
        <v>203</v>
      </c>
    </row>
    <row r="72" spans="1:27" x14ac:dyDescent="0.2">
      <c r="A72" s="1" t="s">
        <v>27</v>
      </c>
      <c r="B72" s="14" t="s">
        <v>129</v>
      </c>
      <c r="C72" s="14" t="b">
        <f t="shared" si="1"/>
        <v>1</v>
      </c>
      <c r="D72" t="s">
        <v>137</v>
      </c>
      <c r="E72">
        <v>10</v>
      </c>
      <c r="F72" s="1" t="s">
        <v>21</v>
      </c>
      <c r="G72" s="1" t="s">
        <v>91</v>
      </c>
      <c r="H72" s="3" t="s">
        <v>21</v>
      </c>
      <c r="J72" t="s">
        <v>98</v>
      </c>
      <c r="K72" t="s">
        <v>92</v>
      </c>
      <c r="M72" t="s">
        <v>110</v>
      </c>
      <c r="N72" t="s">
        <v>234</v>
      </c>
      <c r="O72" t="s">
        <v>235</v>
      </c>
      <c r="P72" t="s">
        <v>97</v>
      </c>
      <c r="X72" s="8" t="s">
        <v>97</v>
      </c>
      <c r="Y72" t="s">
        <v>203</v>
      </c>
      <c r="AA72" t="s">
        <v>214</v>
      </c>
    </row>
    <row r="73" spans="1:27" x14ac:dyDescent="0.2">
      <c r="A73" s="1" t="s">
        <v>16</v>
      </c>
      <c r="B73" s="14">
        <v>3687</v>
      </c>
      <c r="C73" s="14" t="b">
        <f t="shared" si="1"/>
        <v>0</v>
      </c>
      <c r="D73" s="23">
        <v>8</v>
      </c>
      <c r="E73">
        <v>8</v>
      </c>
      <c r="F73" s="1" t="s">
        <v>2</v>
      </c>
      <c r="G73" s="1" t="s">
        <v>91</v>
      </c>
      <c r="H73" s="3" t="s">
        <v>2</v>
      </c>
      <c r="J73" t="s">
        <v>96</v>
      </c>
      <c r="K73" t="s">
        <v>92</v>
      </c>
      <c r="L73" s="7" t="s">
        <v>115</v>
      </c>
      <c r="M73" s="7"/>
      <c r="N73" s="7"/>
      <c r="O73" s="7"/>
      <c r="W73" s="7"/>
      <c r="X73" s="8" t="s">
        <v>202</v>
      </c>
      <c r="Y73" t="s">
        <v>276</v>
      </c>
      <c r="Z73" t="s">
        <v>202</v>
      </c>
    </row>
    <row r="74" spans="1:27" x14ac:dyDescent="0.2">
      <c r="A74" s="1" t="s">
        <v>44</v>
      </c>
      <c r="B74" s="13">
        <v>109</v>
      </c>
      <c r="C74" s="14" t="b">
        <f t="shared" si="1"/>
        <v>0</v>
      </c>
      <c r="D74">
        <v>10</v>
      </c>
      <c r="E74">
        <v>10</v>
      </c>
      <c r="F74" s="1" t="s">
        <v>40</v>
      </c>
      <c r="G74" s="1" t="s">
        <v>91</v>
      </c>
      <c r="H74" s="3" t="s">
        <v>40</v>
      </c>
      <c r="J74" t="s">
        <v>101</v>
      </c>
      <c r="K74" t="s">
        <v>91</v>
      </c>
      <c r="P74" s="1"/>
      <c r="X74" s="9" t="s">
        <v>101</v>
      </c>
    </row>
    <row r="75" spans="1:27" x14ac:dyDescent="0.2">
      <c r="A75" s="1" t="s">
        <v>45</v>
      </c>
      <c r="B75" s="13">
        <v>110</v>
      </c>
      <c r="C75" s="14" t="b">
        <f t="shared" si="1"/>
        <v>0</v>
      </c>
      <c r="D75">
        <v>10</v>
      </c>
      <c r="E75">
        <v>10</v>
      </c>
      <c r="F75" s="1" t="s">
        <v>40</v>
      </c>
      <c r="G75" s="1" t="s">
        <v>91</v>
      </c>
      <c r="H75" s="3" t="s">
        <v>40</v>
      </c>
      <c r="J75" t="s">
        <v>101</v>
      </c>
      <c r="K75" t="s">
        <v>91</v>
      </c>
      <c r="P75" s="1"/>
      <c r="X75" s="9" t="s">
        <v>101</v>
      </c>
    </row>
    <row r="76" spans="1:27" x14ac:dyDescent="0.2">
      <c r="A76" s="1" t="s">
        <v>46</v>
      </c>
      <c r="B76" s="13">
        <v>113</v>
      </c>
      <c r="C76" s="14" t="b">
        <f t="shared" si="1"/>
        <v>0</v>
      </c>
      <c r="D76">
        <v>10</v>
      </c>
      <c r="E76">
        <v>10</v>
      </c>
      <c r="F76" s="1" t="s">
        <v>40</v>
      </c>
      <c r="G76" s="1" t="s">
        <v>91</v>
      </c>
      <c r="H76" s="3" t="s">
        <v>40</v>
      </c>
      <c r="J76" t="s">
        <v>101</v>
      </c>
      <c r="K76" t="s">
        <v>91</v>
      </c>
      <c r="P76" s="1"/>
      <c r="X76" s="9" t="s">
        <v>101</v>
      </c>
    </row>
    <row r="77" spans="1:27" x14ac:dyDescent="0.2">
      <c r="A77" s="1" t="s">
        <v>53</v>
      </c>
      <c r="B77" s="13" t="s">
        <v>147</v>
      </c>
      <c r="C77" s="14" t="b">
        <f t="shared" si="1"/>
        <v>1</v>
      </c>
      <c r="F77" s="1" t="s">
        <v>40</v>
      </c>
      <c r="G77" s="1" t="s">
        <v>91</v>
      </c>
      <c r="H77" s="3" t="s">
        <v>40</v>
      </c>
      <c r="J77" t="s">
        <v>101</v>
      </c>
      <c r="K77" t="s">
        <v>91</v>
      </c>
      <c r="P77" s="1"/>
      <c r="X77" s="9" t="s">
        <v>101</v>
      </c>
    </row>
    <row r="78" spans="1:27" x14ac:dyDescent="0.2">
      <c r="A78" s="1" t="s">
        <v>58</v>
      </c>
      <c r="B78" s="14" t="s">
        <v>148</v>
      </c>
      <c r="C78" s="14" t="b">
        <f t="shared" si="1"/>
        <v>1</v>
      </c>
      <c r="D78" t="s">
        <v>172</v>
      </c>
      <c r="E78">
        <v>10</v>
      </c>
      <c r="F78" s="1" t="s">
        <v>40</v>
      </c>
      <c r="G78" s="1" t="s">
        <v>92</v>
      </c>
      <c r="H78" s="4" t="s">
        <v>40</v>
      </c>
      <c r="J78" t="s">
        <v>101</v>
      </c>
      <c r="K78" t="s">
        <v>91</v>
      </c>
      <c r="P78" s="1"/>
      <c r="X78" s="9" t="s">
        <v>101</v>
      </c>
    </row>
    <row r="79" spans="1:27" x14ac:dyDescent="0.2">
      <c r="A79" s="1" t="s">
        <v>48</v>
      </c>
      <c r="B79" s="13" t="s">
        <v>153</v>
      </c>
      <c r="C79" s="14" t="b">
        <f t="shared" si="1"/>
        <v>1</v>
      </c>
      <c r="F79" s="1" t="s">
        <v>40</v>
      </c>
      <c r="G79" s="1" t="s">
        <v>91</v>
      </c>
      <c r="H79" s="3" t="s">
        <v>40</v>
      </c>
      <c r="J79" t="s">
        <v>102</v>
      </c>
      <c r="K79" t="s">
        <v>91</v>
      </c>
      <c r="P79" s="1"/>
      <c r="X79" s="9" t="s">
        <v>102</v>
      </c>
    </row>
    <row r="80" spans="1:27" x14ac:dyDescent="0.2">
      <c r="A80" s="1" t="s">
        <v>55</v>
      </c>
      <c r="B80" s="13">
        <v>89</v>
      </c>
      <c r="C80" s="14" t="b">
        <f t="shared" si="1"/>
        <v>0</v>
      </c>
      <c r="D80">
        <v>10</v>
      </c>
      <c r="E80">
        <v>10</v>
      </c>
      <c r="F80" s="1" t="s">
        <v>40</v>
      </c>
      <c r="G80" s="1" t="s">
        <v>91</v>
      </c>
      <c r="H80" s="3" t="s">
        <v>40</v>
      </c>
      <c r="J80" t="s">
        <v>102</v>
      </c>
      <c r="K80" t="s">
        <v>91</v>
      </c>
      <c r="P80" s="1"/>
      <c r="X80" s="9" t="s">
        <v>102</v>
      </c>
    </row>
    <row r="81" spans="1:28" x14ac:dyDescent="0.2">
      <c r="A81" s="1" t="s">
        <v>67</v>
      </c>
      <c r="B81" s="14" t="s">
        <v>165</v>
      </c>
      <c r="C81" s="14" t="b">
        <f t="shared" si="1"/>
        <v>1</v>
      </c>
      <c r="D81" t="s">
        <v>177</v>
      </c>
      <c r="E81">
        <v>10</v>
      </c>
      <c r="F81" s="1" t="s">
        <v>40</v>
      </c>
      <c r="G81" s="1" t="s">
        <v>91</v>
      </c>
      <c r="H81" s="3" t="s">
        <v>40</v>
      </c>
      <c r="J81" t="s">
        <v>102</v>
      </c>
      <c r="K81" t="s">
        <v>91</v>
      </c>
      <c r="P81" s="1"/>
      <c r="X81" s="9" t="s">
        <v>102</v>
      </c>
      <c r="AB81" t="s">
        <v>210</v>
      </c>
    </row>
    <row r="82" spans="1:28" x14ac:dyDescent="0.2">
      <c r="A82" s="1" t="s">
        <v>69</v>
      </c>
      <c r="B82" s="14">
        <v>907</v>
      </c>
      <c r="C82" s="14" t="b">
        <f t="shared" si="1"/>
        <v>0</v>
      </c>
      <c r="D82">
        <v>10</v>
      </c>
      <c r="E82">
        <v>10</v>
      </c>
      <c r="F82" s="1" t="s">
        <v>40</v>
      </c>
      <c r="G82" s="1" t="s">
        <v>92</v>
      </c>
      <c r="H82" s="4" t="s">
        <v>40</v>
      </c>
      <c r="J82" t="s">
        <v>102</v>
      </c>
      <c r="K82" t="s">
        <v>91</v>
      </c>
      <c r="P82" s="1"/>
      <c r="X82" s="9" t="s">
        <v>102</v>
      </c>
    </row>
    <row r="83" spans="1:28" x14ac:dyDescent="0.2">
      <c r="A83" s="1" t="s">
        <v>70</v>
      </c>
      <c r="B83" s="14">
        <v>91</v>
      </c>
      <c r="C83" s="14" t="b">
        <f t="shared" si="1"/>
        <v>0</v>
      </c>
      <c r="D83">
        <v>10</v>
      </c>
      <c r="E83">
        <v>10</v>
      </c>
      <c r="F83" s="1" t="s">
        <v>40</v>
      </c>
      <c r="G83" s="1" t="s">
        <v>91</v>
      </c>
      <c r="H83" s="3" t="s">
        <v>40</v>
      </c>
      <c r="J83" t="s">
        <v>102</v>
      </c>
      <c r="K83" t="s">
        <v>91</v>
      </c>
      <c r="P83" s="1"/>
      <c r="X83" s="9" t="s">
        <v>102</v>
      </c>
    </row>
    <row r="84" spans="1:28" x14ac:dyDescent="0.2">
      <c r="A84" s="1" t="s">
        <v>82</v>
      </c>
      <c r="B84" s="14" t="s">
        <v>156</v>
      </c>
      <c r="C84" s="14" t="b">
        <f t="shared" si="1"/>
        <v>0</v>
      </c>
      <c r="D84">
        <v>10</v>
      </c>
      <c r="E84">
        <v>10</v>
      </c>
      <c r="F84" s="1" t="s">
        <v>40</v>
      </c>
      <c r="G84" s="1" t="s">
        <v>91</v>
      </c>
      <c r="H84" s="3" t="s">
        <v>40</v>
      </c>
      <c r="J84" t="s">
        <v>102</v>
      </c>
      <c r="K84" t="s">
        <v>91</v>
      </c>
      <c r="P84" s="1"/>
      <c r="X84" s="9" t="s">
        <v>102</v>
      </c>
    </row>
  </sheetData>
  <conditionalFormatting sqref="A3:A84">
    <cfRule type="duplicateValues" dxfId="17" priority="136"/>
  </conditionalFormatting>
  <conditionalFormatting sqref="B18">
    <cfRule type="duplicateValues" dxfId="16" priority="12"/>
    <cfRule type="duplicateValues" dxfId="15" priority="13"/>
  </conditionalFormatting>
  <conditionalFormatting sqref="B19:B26">
    <cfRule type="duplicateValues" dxfId="14" priority="10"/>
    <cfRule type="duplicateValues" dxfId="13" priority="11"/>
  </conditionalFormatting>
  <conditionalFormatting sqref="B27:B29 B35:B37">
    <cfRule type="duplicateValues" dxfId="12" priority="111"/>
  </conditionalFormatting>
  <conditionalFormatting sqref="B30">
    <cfRule type="duplicateValues" dxfId="11" priority="8"/>
    <cfRule type="duplicateValues" dxfId="10" priority="9"/>
  </conditionalFormatting>
  <conditionalFormatting sqref="B31">
    <cfRule type="duplicateValues" dxfId="9" priority="6"/>
    <cfRule type="duplicateValues" dxfId="8" priority="7"/>
  </conditionalFormatting>
  <conditionalFormatting sqref="B32:B34">
    <cfRule type="duplicateValues" dxfId="7" priority="4"/>
    <cfRule type="duplicateValues" dxfId="6" priority="5"/>
  </conditionalFormatting>
  <conditionalFormatting sqref="B38">
    <cfRule type="duplicateValues" dxfId="5" priority="2"/>
    <cfRule type="duplicateValues" dxfId="4" priority="3"/>
  </conditionalFormatting>
  <conditionalFormatting sqref="K3:K84">
    <cfRule type="containsText" dxfId="3" priority="18" operator="containsText" text="NO">
      <formula>NOT(ISERROR(SEARCH("NO",K3)))</formula>
    </cfRule>
  </conditionalFormatting>
  <conditionalFormatting sqref="W17 A3:E3 Q29:V30 Q12:V13 Q16:V20 A18:A38 A39:B84 A4:B17 Q30:Q31 Q7:V10 P5:P10 P12:P14 Q26:V26 P16:P26 P28:P30 P32:P34 C4:C84">
    <cfRule type="duplicateValues" dxfId="2" priority="20"/>
  </conditionalFormatting>
  <conditionalFormatting sqref="Z3:Z5 A3:E3 A18:A38 A39:B84 A4:B17 C4:C84">
    <cfRule type="duplicateValues" dxfId="1" priority="2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E15" sqref="E15"/>
    </sheetView>
  </sheetViews>
  <sheetFormatPr baseColWidth="10" defaultColWidth="11.5" defaultRowHeight="15" x14ac:dyDescent="0.2"/>
  <cols>
    <col min="3" max="3" width="16.6640625" bestFit="1" customWidth="1"/>
    <col min="4" max="4" width="14.1640625" bestFit="1" customWidth="1"/>
    <col min="5" max="5" width="39.5" bestFit="1" customWidth="1"/>
  </cols>
  <sheetData>
    <row r="1" spans="1:5" x14ac:dyDescent="0.2">
      <c r="A1" s="16"/>
      <c r="B1" s="17" t="s">
        <v>223</v>
      </c>
      <c r="C1" s="17" t="s">
        <v>224</v>
      </c>
      <c r="D1" s="17" t="s">
        <v>225</v>
      </c>
    </row>
    <row r="2" spans="1:5" x14ac:dyDescent="0.2">
      <c r="A2" s="18" t="s">
        <v>202</v>
      </c>
      <c r="B2" s="20">
        <v>8</v>
      </c>
      <c r="C2" s="20">
        <v>0</v>
      </c>
      <c r="D2" s="20">
        <f>B2+C2</f>
        <v>8</v>
      </c>
    </row>
    <row r="3" spans="1:5" x14ac:dyDescent="0.2">
      <c r="A3" s="18" t="s">
        <v>220</v>
      </c>
      <c r="B3" s="20">
        <v>10</v>
      </c>
      <c r="C3" s="20">
        <v>0</v>
      </c>
      <c r="D3" s="20">
        <v>10</v>
      </c>
    </row>
    <row r="4" spans="1:5" x14ac:dyDescent="0.2">
      <c r="A4" s="18" t="s">
        <v>97</v>
      </c>
      <c r="B4" s="20">
        <v>9</v>
      </c>
      <c r="C4" s="20">
        <v>0</v>
      </c>
      <c r="D4" s="20">
        <f t="shared" ref="D4:D10" si="0">B4+C4</f>
        <v>9</v>
      </c>
    </row>
    <row r="5" spans="1:5" x14ac:dyDescent="0.2">
      <c r="A5" s="18" t="s">
        <v>215</v>
      </c>
      <c r="B5" s="20">
        <v>3</v>
      </c>
      <c r="C5" s="20">
        <v>2</v>
      </c>
      <c r="D5" s="20">
        <f t="shared" si="0"/>
        <v>5</v>
      </c>
    </row>
    <row r="6" spans="1:5" x14ac:dyDescent="0.2">
      <c r="A6" s="18" t="s">
        <v>216</v>
      </c>
      <c r="B6" s="20">
        <v>7</v>
      </c>
      <c r="C6" s="20">
        <v>0</v>
      </c>
      <c r="D6" s="20">
        <f t="shared" si="0"/>
        <v>7</v>
      </c>
    </row>
    <row r="7" spans="1:5" x14ac:dyDescent="0.2">
      <c r="A7" s="18" t="s">
        <v>217</v>
      </c>
      <c r="B7" s="20">
        <v>8</v>
      </c>
      <c r="C7" s="20">
        <v>4</v>
      </c>
      <c r="D7" s="20">
        <f t="shared" si="0"/>
        <v>12</v>
      </c>
    </row>
    <row r="8" spans="1:5" x14ac:dyDescent="0.2">
      <c r="A8" s="18" t="s">
        <v>218</v>
      </c>
      <c r="B8" s="20">
        <v>5</v>
      </c>
      <c r="C8" s="20">
        <v>4</v>
      </c>
      <c r="D8" s="20">
        <f t="shared" si="0"/>
        <v>9</v>
      </c>
    </row>
    <row r="9" spans="1:5" x14ac:dyDescent="0.2">
      <c r="A9" s="18" t="s">
        <v>221</v>
      </c>
      <c r="B9" s="20">
        <v>11</v>
      </c>
      <c r="C9" s="20">
        <v>1</v>
      </c>
      <c r="D9" s="20">
        <f t="shared" si="0"/>
        <v>12</v>
      </c>
    </row>
    <row r="10" spans="1:5" x14ac:dyDescent="0.2">
      <c r="A10" s="18" t="s">
        <v>222</v>
      </c>
      <c r="B10" s="20">
        <v>12</v>
      </c>
      <c r="C10" s="20">
        <v>0</v>
      </c>
      <c r="D10" s="20">
        <f t="shared" si="0"/>
        <v>12</v>
      </c>
    </row>
    <row r="11" spans="1:5" x14ac:dyDescent="0.2">
      <c r="B11" s="21"/>
      <c r="C11" s="21"/>
      <c r="D11" s="21"/>
    </row>
    <row r="12" spans="1:5" x14ac:dyDescent="0.2">
      <c r="B12" s="21"/>
      <c r="C12" s="21"/>
      <c r="D12" s="21"/>
    </row>
    <row r="13" spans="1:5" x14ac:dyDescent="0.2">
      <c r="A13" s="16"/>
      <c r="B13" s="17" t="s">
        <v>223</v>
      </c>
      <c r="C13" s="17" t="s">
        <v>227</v>
      </c>
      <c r="D13" s="17" t="s">
        <v>228</v>
      </c>
      <c r="E13" s="16"/>
    </row>
    <row r="14" spans="1:5" x14ac:dyDescent="0.2">
      <c r="A14" s="18" t="s">
        <v>202</v>
      </c>
      <c r="B14" s="20">
        <v>8</v>
      </c>
      <c r="C14" s="20"/>
      <c r="D14" s="20">
        <v>2</v>
      </c>
      <c r="E14" s="16"/>
    </row>
    <row r="15" spans="1:5" x14ac:dyDescent="0.2">
      <c r="A15" s="18" t="s">
        <v>220</v>
      </c>
      <c r="B15" s="20">
        <v>10</v>
      </c>
      <c r="C15" s="20">
        <v>2</v>
      </c>
      <c r="D15" s="20"/>
      <c r="E15" s="19" t="s">
        <v>226</v>
      </c>
    </row>
    <row r="16" spans="1:5" x14ac:dyDescent="0.2">
      <c r="A16" s="18" t="s">
        <v>97</v>
      </c>
      <c r="B16" s="20">
        <v>9</v>
      </c>
      <c r="C16" s="20"/>
      <c r="D16" s="22"/>
      <c r="E16" s="16"/>
    </row>
    <row r="17" spans="1:5" x14ac:dyDescent="0.2">
      <c r="A17" s="18" t="s">
        <v>215</v>
      </c>
      <c r="B17" s="20">
        <v>3</v>
      </c>
      <c r="C17" s="20"/>
      <c r="D17" s="20"/>
      <c r="E17" s="16"/>
    </row>
    <row r="18" spans="1:5" x14ac:dyDescent="0.2">
      <c r="A18" s="18" t="s">
        <v>216</v>
      </c>
      <c r="B18" s="20">
        <v>7</v>
      </c>
      <c r="C18" s="20"/>
      <c r="D18" s="20"/>
      <c r="E18" s="16"/>
    </row>
    <row r="19" spans="1:5" x14ac:dyDescent="0.2">
      <c r="A19" s="18" t="s">
        <v>217</v>
      </c>
      <c r="B19" s="20">
        <v>8</v>
      </c>
      <c r="C19" s="20"/>
      <c r="D19" s="20"/>
      <c r="E19" s="16"/>
    </row>
    <row r="20" spans="1:5" x14ac:dyDescent="0.2">
      <c r="A20" s="18" t="s">
        <v>218</v>
      </c>
      <c r="B20" s="20">
        <v>5</v>
      </c>
      <c r="C20" s="20"/>
      <c r="D20" s="20"/>
      <c r="E20" s="16"/>
    </row>
    <row r="21" spans="1:5" x14ac:dyDescent="0.2">
      <c r="A21" s="18" t="s">
        <v>221</v>
      </c>
      <c r="B21" s="20">
        <v>11</v>
      </c>
      <c r="C21" s="20"/>
      <c r="D21" s="20"/>
      <c r="E21" s="16"/>
    </row>
    <row r="22" spans="1:5" x14ac:dyDescent="0.2">
      <c r="A22" s="18" t="s">
        <v>222</v>
      </c>
      <c r="B22" s="20">
        <v>12</v>
      </c>
      <c r="C22" s="20"/>
      <c r="D22" s="20"/>
      <c r="E22" s="16"/>
    </row>
    <row r="23" spans="1:5" x14ac:dyDescent="0.2">
      <c r="B23" s="21"/>
      <c r="C23" s="21"/>
      <c r="D23" s="21"/>
    </row>
  </sheetData>
  <conditionalFormatting sqref="D16 E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Sheet1</vt:lpstr>
    </vt:vector>
  </TitlesOfParts>
  <Company>Humanitas Mirasole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Utente: adgatti - Computer: PORT01007120</dc:creator>
  <cp:lastModifiedBy>Bell, Lauren</cp:lastModifiedBy>
  <dcterms:created xsi:type="dcterms:W3CDTF">2025-01-28T15:22:37Z</dcterms:created>
  <dcterms:modified xsi:type="dcterms:W3CDTF">2026-04-23T19:07:34Z</dcterms:modified>
</cp:coreProperties>
</file>